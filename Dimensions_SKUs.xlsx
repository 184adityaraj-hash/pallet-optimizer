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E5604FDE-11A5-4578-99CE-E006F97CB8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" i="1"/>
</calcChain>
</file>

<file path=xl/sharedStrings.xml><?xml version="1.0" encoding="utf-8"?>
<sst xmlns="http://schemas.openxmlformats.org/spreadsheetml/2006/main" count="600" uniqueCount="358">
  <si>
    <t>SKU Desc</t>
  </si>
  <si>
    <t>Brand</t>
  </si>
  <si>
    <t>SKU</t>
  </si>
  <si>
    <t>Material code</t>
  </si>
  <si>
    <t>Units per Shipper</t>
  </si>
  <si>
    <t>Act Grosswt (Kg)</t>
  </si>
  <si>
    <t>CFT SAP</t>
  </si>
  <si>
    <t>L (cm)</t>
  </si>
  <si>
    <t>W (cm)</t>
  </si>
  <si>
    <t>H (cm)</t>
  </si>
  <si>
    <t>ALASPAN AM TABLETS-STRIP OF 10</t>
  </si>
  <si>
    <t>Alaspan</t>
  </si>
  <si>
    <t>ALASPAN SYRUP 100 ML BOTTLE</t>
  </si>
  <si>
    <t>ALASPAN TABLETS-STRIP OF 10 TA</t>
  </si>
  <si>
    <t>BECOZYM C FORTE TABS 21 X 15's</t>
  </si>
  <si>
    <t>Becozym</t>
  </si>
  <si>
    <t>Benadon TABS 10S</t>
  </si>
  <si>
    <t>Benadon</t>
  </si>
  <si>
    <t>Canesten Derm 1% POWD BT 50g IN</t>
  </si>
  <si>
    <t>Canesten</t>
  </si>
  <si>
    <t>CANESTEN V 100 MG TABL  1X6'S IN</t>
  </si>
  <si>
    <t>CIR Adult Diaper Pants XL (pack of 1)</t>
  </si>
  <si>
    <t>CIR</t>
  </si>
  <si>
    <t>CIR Premium Underpads M(20 N)</t>
  </si>
  <si>
    <t xml:space="preserve">CIR-Bed Bath Wipes 10 </t>
  </si>
  <si>
    <t>Covifind Rapid Antigen Test</t>
  </si>
  <si>
    <t>Covifind</t>
  </si>
  <si>
    <t>Digeplex 100ml</t>
  </si>
  <si>
    <t>Digeplex</t>
  </si>
  <si>
    <t>401285007/16</t>
  </si>
  <si>
    <t>Digeplex 200ml</t>
  </si>
  <si>
    <t>401285006/17</t>
  </si>
  <si>
    <t>Digeplex Readymade 200ml</t>
  </si>
  <si>
    <t>Digeplex T Tablets 10's</t>
  </si>
  <si>
    <t>I - Activ Menstrual Cup - Sterilizer - L</t>
  </si>
  <si>
    <t>I Activ</t>
  </si>
  <si>
    <t>I - Activ Menstrual Cup - Sterilizer - M</t>
  </si>
  <si>
    <t>I - Activ Menstrual Cup - Sterilizer - S</t>
  </si>
  <si>
    <t>i- activ Period Panty,10s, M-L</t>
  </si>
  <si>
    <t xml:space="preserve">I Know </t>
  </si>
  <si>
    <t>I Know</t>
  </si>
  <si>
    <t>401007003/07</t>
  </si>
  <si>
    <t>JM Doodle Artz Food</t>
  </si>
  <si>
    <t>Jungle Magic</t>
  </si>
  <si>
    <t>JM Doodle Artz Food-C</t>
  </si>
  <si>
    <t>JM Doodle Waterz Animals</t>
  </si>
  <si>
    <t>JM Doodle Waterz Fox &amp; Crow</t>
  </si>
  <si>
    <t>JM Doodle Waterz Lion &amp; Rabbit</t>
  </si>
  <si>
    <t>JM Doodle Waterz Lion &amp; Talking Cave</t>
  </si>
  <si>
    <t>JM Doodle Waterz Monkey &amp; Crocodile</t>
  </si>
  <si>
    <t>JM Doodle Waterz Numbers</t>
  </si>
  <si>
    <t>JM Doodle Waterz Sea Creatures</t>
  </si>
  <si>
    <t>JM Doodle Waterz Swans &amp; Tortoise</t>
  </si>
  <si>
    <t>JM Doodle Waterz Vehicles</t>
  </si>
  <si>
    <t>JM Garden Sciencz Kit Original</t>
  </si>
  <si>
    <t>JM Garden Sciencz Kit Vegetables</t>
  </si>
  <si>
    <t>Lacto Calamine Face Wash Charcoal 50 ml</t>
  </si>
  <si>
    <t>Lacto</t>
  </si>
  <si>
    <t>Lacto Calamine Face Wash Vitamin C 50 ml</t>
  </si>
  <si>
    <t>Lacto Calamine FaceWash Kaolin Clay 50ml</t>
  </si>
  <si>
    <t>Lacto Calamine Sunscreen with Hanger</t>
  </si>
  <si>
    <t>Lacto Calamine -Vitamin C FW 100 gm</t>
  </si>
  <si>
    <t>LACTO FW 100ML</t>
  </si>
  <si>
    <t>LACTO FW 50ML</t>
  </si>
  <si>
    <t>LC ACV foaming face wash</t>
  </si>
  <si>
    <t>LC Anti Blemish Cream</t>
  </si>
  <si>
    <t>LC Cucumber Toner 120ml</t>
  </si>
  <si>
    <t>LC Daily Facial Wipes 25's Travel Pack</t>
  </si>
  <si>
    <t>LC Green Tea Night Gel 50g</t>
  </si>
  <si>
    <t>LC Neem Aloe foaming face wash</t>
  </si>
  <si>
    <t>LC Oil Cleansing Wipes 30's</t>
  </si>
  <si>
    <t>LC Oily Lotion 60ml + SPF 15g Sample</t>
  </si>
  <si>
    <t>LC Salicylic Acid Serum 2%</t>
  </si>
  <si>
    <t>400065178/301</t>
  </si>
  <si>
    <t>LC Sunscreen 50g</t>
  </si>
  <si>
    <t>Little’s Baby Detergent 1L</t>
  </si>
  <si>
    <t>Little's</t>
  </si>
  <si>
    <t>Little's 5 in 1 Infant Classic Gift Pack</t>
  </si>
  <si>
    <t>Little's Baby Soft Ball</t>
  </si>
  <si>
    <t>Little's Baby Soft Ball - Big</t>
  </si>
  <si>
    <t>Little's Baby Wipes 30's</t>
  </si>
  <si>
    <t>401179197/247</t>
  </si>
  <si>
    <t>Little's Baby Wipes 80's - Lid Pack</t>
  </si>
  <si>
    <t>Little's Big Hug Silicone Nipple</t>
  </si>
  <si>
    <t>401179079/168</t>
  </si>
  <si>
    <t>Little's Boys Shoes 5</t>
  </si>
  <si>
    <t>401179084/171</t>
  </si>
  <si>
    <t>Little's Boys Shoes -7-New</t>
  </si>
  <si>
    <t>Little's Boys Shoes-4-NEW MT</t>
  </si>
  <si>
    <t>Little's Classic Mini Feeding Btl-Blue</t>
  </si>
  <si>
    <t>Little's Classic Mini Feeding Btl-Pink</t>
  </si>
  <si>
    <t>Little's Colorful Interlocking Stars</t>
  </si>
  <si>
    <t>Little's Colourful Activity Chain Links</t>
  </si>
  <si>
    <t>Littles Comfy pant Jumbo Standard XL(26)</t>
  </si>
  <si>
    <t>Littles Comfy pant Mid Premium L(4)</t>
  </si>
  <si>
    <t>Littles Comfy pant Mid Standard L(4)</t>
  </si>
  <si>
    <t>Littles Comfy pant Mid Standard M(4)</t>
  </si>
  <si>
    <t>Littles Comfy pant Mid Standard S(4)</t>
  </si>
  <si>
    <t>Littles Comfy pant Mid Standard XL(4)</t>
  </si>
  <si>
    <t>Little's Comfy Pants GT Pack S10</t>
  </si>
  <si>
    <t>Littles Comfy Pants Mid large NB 11</t>
  </si>
  <si>
    <t>Littles Comfy Pants Mid Large XL 7</t>
  </si>
  <si>
    <t>Littles Comfy Pants Singles Bi-fold L</t>
  </si>
  <si>
    <t>Littles Comfy Pants Singles Bi-fold M</t>
  </si>
  <si>
    <t>Littles Comfy Pants Singles Bi-fold S</t>
  </si>
  <si>
    <t>Littles Comfy Pants Singles NB 1</t>
  </si>
  <si>
    <t>Littles Comfy Pants Singles XL 1</t>
  </si>
  <si>
    <t>Little's Denim Booties- NEW MT</t>
  </si>
  <si>
    <t>Little's Denim Sandles 36</t>
  </si>
  <si>
    <t>Little's Diapers  Single Pack L</t>
  </si>
  <si>
    <t>401179325/345</t>
  </si>
  <si>
    <t>Little's Diapers  Single Pack M</t>
  </si>
  <si>
    <t>401179326/346</t>
  </si>
  <si>
    <t>Little's Diapers  Single Pack S</t>
  </si>
  <si>
    <t>401179324/347</t>
  </si>
  <si>
    <t>Little's Diapers- L 30s</t>
  </si>
  <si>
    <t>401179269/352</t>
  </si>
  <si>
    <t>Little's Diapers-M 32s</t>
  </si>
  <si>
    <t>401179270/354</t>
  </si>
  <si>
    <t>Little's Diapers-NB 40's</t>
  </si>
  <si>
    <t>401179279/353</t>
  </si>
  <si>
    <t>Little's Diapers-S 42s</t>
  </si>
  <si>
    <t>401179271/355</t>
  </si>
  <si>
    <t>Little's Diapers-XL 24s</t>
  </si>
  <si>
    <t>401179268/356</t>
  </si>
  <si>
    <t>Littles Comfy Pants Jumbo XXL22 Sack Bag</t>
  </si>
  <si>
    <t>401179323/351</t>
  </si>
  <si>
    <t>Little's Easy Dry Large Firozi</t>
  </si>
  <si>
    <t>Little's Easy Dry Large Pink</t>
  </si>
  <si>
    <t>Little's Easy Dry Medium</t>
  </si>
  <si>
    <t>401179016/217</t>
  </si>
  <si>
    <t>Little's Easy Dry Medium Firozi</t>
  </si>
  <si>
    <t>Little's Easy Dry Medium Pink</t>
  </si>
  <si>
    <t>Little's Easy Dry Small</t>
  </si>
  <si>
    <t>401179017/216</t>
  </si>
  <si>
    <t>Little's Easy Dry Small Firozi</t>
  </si>
  <si>
    <t>Little's Easy Dry Small Pink</t>
  </si>
  <si>
    <t>Little's Elastic Booties 36s</t>
  </si>
  <si>
    <t>Little's Frill Booties(36)</t>
  </si>
  <si>
    <t>Little's Girl Shoes-4- NEW MT</t>
  </si>
  <si>
    <t>Little's Girls Shoes 5</t>
  </si>
  <si>
    <t>401179088/176</t>
  </si>
  <si>
    <t>Little's Girls Shoes-6-New</t>
  </si>
  <si>
    <t>Little's Girls Shoes-7-New</t>
  </si>
  <si>
    <t>Little's Grab &amp; Shake Rattles</t>
  </si>
  <si>
    <t>Little's Organix Baby Massage Oil 200ml</t>
  </si>
  <si>
    <t>Little's Organix Baby Massage Oil 25ml</t>
  </si>
  <si>
    <t>Little's Organix Baby Powder 400 gm</t>
  </si>
  <si>
    <t>Little's Organix Baby Shampoo 400 ml</t>
  </si>
  <si>
    <t>Little's Organix Gentle Baby Wash 400ml</t>
  </si>
  <si>
    <t>Little's Organix Nourishing Baby Lotion</t>
  </si>
  <si>
    <t>Little's Organix  Baby Powder 100g</t>
  </si>
  <si>
    <t>Little's Plastic Powder Puff</t>
  </si>
  <si>
    <t>401179062/221</t>
  </si>
  <si>
    <t>Little's Rainbow Stacking Cubes</t>
  </si>
  <si>
    <t>Little's Socks Booties 36s</t>
  </si>
  <si>
    <t>Little's wipes 80N Lid promo pack</t>
  </si>
  <si>
    <t>MYCOSPOR CREAM 30G IN</t>
  </si>
  <si>
    <t>Mycospor</t>
  </si>
  <si>
    <t>Naturolax 300gm</t>
  </si>
  <si>
    <t>Naturolax</t>
  </si>
  <si>
    <t>Naturolax Isabgol 3.5gm</t>
  </si>
  <si>
    <t>Naturolax-A, Triphala Tablets</t>
  </si>
  <si>
    <t>Neko Germ Protection Wipes</t>
  </si>
  <si>
    <t>Neko</t>
  </si>
  <si>
    <t>Neko Hand Sanitizer 50ml</t>
  </si>
  <si>
    <t>New Saridon Tablet (11's monocarton)</t>
  </si>
  <si>
    <t>Saridon</t>
  </si>
  <si>
    <t>NIXIT 2mg-Frost Mintlozenge-10's</t>
  </si>
  <si>
    <t>NIXIT</t>
  </si>
  <si>
    <t>Ourdaily Ashwagandha 60s pack</t>
  </si>
  <si>
    <t>OurDaily</t>
  </si>
  <si>
    <t>OurDaily Biotin 10mg</t>
  </si>
  <si>
    <t xml:space="preserve">Ourdaily Calcium + D3 </t>
  </si>
  <si>
    <t>Ourdaily Multivitamin GSG</t>
  </si>
  <si>
    <t>OurDaily Omega 3</t>
  </si>
  <si>
    <t>OurDaily Vit_E 400mg</t>
  </si>
  <si>
    <t>Polycrol Chw.Tab.Mint15s(Al.Mg.&amp;Dim.Tab)</t>
  </si>
  <si>
    <t>Polycrol</t>
  </si>
  <si>
    <t>Polycrol Orange 450 ml</t>
  </si>
  <si>
    <t>Quik Kool 10gm</t>
  </si>
  <si>
    <t>Quik Kool</t>
  </si>
  <si>
    <t>401115005/06</t>
  </si>
  <si>
    <t>SARIDON HEAD &amp; BODY TABLETS 11's MONO</t>
  </si>
  <si>
    <t>Sloan's Spray 20GM</t>
  </si>
  <si>
    <t>Sloan's</t>
  </si>
  <si>
    <t>Sloan's Spray 50GM</t>
  </si>
  <si>
    <t>Supradyn Immunity TAFI BT 30 IN</t>
  </si>
  <si>
    <t>Supradyn</t>
  </si>
  <si>
    <t>Tetmosol Dusting Powder Lime 100g Hanger</t>
  </si>
  <si>
    <t>Tetmosol</t>
  </si>
  <si>
    <t>Tetmosol Icy cool Soap 75g</t>
  </si>
  <si>
    <t>Tetmosol Plus Cream 10g</t>
  </si>
  <si>
    <t>Tri Activ Dishwasher Tablets 30N</t>
  </si>
  <si>
    <t>Tri Activ</t>
  </si>
  <si>
    <t>Tri Activ Disinfectant Liquid 500ML</t>
  </si>
  <si>
    <t>Tri Activ Disinfectant Spray 100ml</t>
  </si>
  <si>
    <t>Tri Activ Disinfectant Spray 230ml</t>
  </si>
  <si>
    <t>Tri Activ Disinfectant Spray 500ml</t>
  </si>
  <si>
    <t>Tri Activ Germ Protection Wipes</t>
  </si>
  <si>
    <t>Tri Activ Hand Rub 500ml</t>
  </si>
  <si>
    <t>Tri Activ Hand Sanitizer 100ML</t>
  </si>
  <si>
    <t>Tri Activ Hand Sanitizer 250ML</t>
  </si>
  <si>
    <t xml:space="preserve">Tri Activ Hand Sanitizer 500ML </t>
  </si>
  <si>
    <t>Tri Activ Hand Sanitizer 50ML</t>
  </si>
  <si>
    <t>Tri Activ N-95 Protective Masks</t>
  </si>
  <si>
    <t>Tri-activ 5 Layer Protective Mask with E</t>
  </si>
  <si>
    <t>Tri-activ 5 Layer Protective Mask with H</t>
  </si>
  <si>
    <t>Tri-Activ Anti Mosquito Racket - Wrty</t>
  </si>
  <si>
    <t>Tri-Activ Handwash 300ml Bottle</t>
  </si>
  <si>
    <t>Tri-Activ Mosq Racket UV White - Wrnty</t>
  </si>
  <si>
    <t>Tri-Activ Mosquito Net King Size Blue</t>
  </si>
  <si>
    <t>Tri-Activ Mosquito Net Single BedÂ Blue</t>
  </si>
  <si>
    <t>Tri-Activ Mosquito Racket - Black (UV)</t>
  </si>
  <si>
    <t>Tri-Activ Mosquito Racket - UV light</t>
  </si>
  <si>
    <t>Tri-Activ Reusable KT Rolls Printed</t>
  </si>
  <si>
    <t>Tri-Activ Reusable KT Rolls White</t>
  </si>
  <si>
    <t>99% WATER BABY WIPES 72</t>
  </si>
  <si>
    <t>ALASPAN AG SYRUP 100ML BOTTLE</t>
  </si>
  <si>
    <t>BAYER'S TONIC 250 ML</t>
  </si>
  <si>
    <t>Bayer's Tonic</t>
  </si>
  <si>
    <t>Becozym C Forte Tablets 21x20's</t>
  </si>
  <si>
    <t>BENADON TABLETS 15T</t>
  </si>
  <si>
    <t>BOHEM Beard Growth Oil 50 ml</t>
  </si>
  <si>
    <t>BOHEM</t>
  </si>
  <si>
    <t>BOHEM Deodorizing Roll-On 50 ml</t>
  </si>
  <si>
    <t>BOHEM Hair Removal Foam Spray 200ml Can</t>
  </si>
  <si>
    <t>Caladryl Lotion 125ml</t>
  </si>
  <si>
    <t>Caladryl</t>
  </si>
  <si>
    <t>401114013/16</t>
  </si>
  <si>
    <t>Caladryl Lotion 65ml</t>
  </si>
  <si>
    <t>401114014/15</t>
  </si>
  <si>
    <t>CANESTEN 1% POWD 1X100 G IN</t>
  </si>
  <si>
    <t>CANESTEN CREAM TUBE 30G IN</t>
  </si>
  <si>
    <t>CANESTEN S CREAM 15G IN</t>
  </si>
  <si>
    <t>CIR Adult Diaper Pants L (pack of 1)</t>
  </si>
  <si>
    <t>CIR ADULT DIAPER PANTS L(10)</t>
  </si>
  <si>
    <t>CIR ADULT DIAPER PANTS L(10)- COSM</t>
  </si>
  <si>
    <t>CIR ADULT DIAPER PANTS L(10) E</t>
  </si>
  <si>
    <t>CIR ADULT DIAPER PANTS L(10) WB</t>
  </si>
  <si>
    <t>CIR Adult Diaper Pants M (pack of 1)</t>
  </si>
  <si>
    <t>CIR ADULT DIAPER PANTS M(10)</t>
  </si>
  <si>
    <t>CIR ADULT DIAPER PANTS M(10)- COSM</t>
  </si>
  <si>
    <t>CIR ADULT DIAPER PANTS M(10) E</t>
  </si>
  <si>
    <t>CIR ADULT DIAPER PANTS M(10) WB</t>
  </si>
  <si>
    <t>CIR ADULT DIAPER PANTS XL(10)</t>
  </si>
  <si>
    <t>CIR ADULT DIAPER PANTS XL(10)- COSM</t>
  </si>
  <si>
    <t>CIR ADULT DIAPER PANTS XL(10) E</t>
  </si>
  <si>
    <t>CIR ADULT DIAPER PANTS XL(10) WB</t>
  </si>
  <si>
    <t>CIR Premium Adult Diapers XL(10 N)</t>
  </si>
  <si>
    <t>401179331/344</t>
  </si>
  <si>
    <t>CIR Premium Adult Diapers XL(10 N) E</t>
  </si>
  <si>
    <t>CIR Premium Adult Diapers XL(10 N) WB</t>
  </si>
  <si>
    <t>CIR Premium Adult Diapers XL(10 N)-COSM</t>
  </si>
  <si>
    <t>CIR Premium Underpads L(10 N)</t>
  </si>
  <si>
    <t>CubCare Baby Wipes 80s Lid Pack</t>
  </si>
  <si>
    <t>Cubcare</t>
  </si>
  <si>
    <t>Ferradol - 200GM</t>
  </si>
  <si>
    <t>Ferradol</t>
  </si>
  <si>
    <t>Ferradol - 450GM</t>
  </si>
  <si>
    <t>GV  Bolts flowwrap Cola 18G</t>
  </si>
  <si>
    <t>Wipro</t>
  </si>
  <si>
    <t>GV  Bolts flowwrap GreenMango 18G</t>
  </si>
  <si>
    <t>GV  Bolts flowwrap Orange 18G</t>
  </si>
  <si>
    <t>GV  Bolts flowwrap Strawberry 18G</t>
  </si>
  <si>
    <t>GV  Bolts Tube Orange 18G</t>
  </si>
  <si>
    <t>i- activ Period Panty,10s, L-Xl</t>
  </si>
  <si>
    <t>I CAN</t>
  </si>
  <si>
    <t>I Range</t>
  </si>
  <si>
    <t>401012005/08</t>
  </si>
  <si>
    <t>I-Activ Menstrual Cup - L</t>
  </si>
  <si>
    <t>I-Pill 36s</t>
  </si>
  <si>
    <t>400907008/09</t>
  </si>
  <si>
    <t>IPill Daily</t>
  </si>
  <si>
    <t>JM Doodle Artz Music</t>
  </si>
  <si>
    <t>JM Doodle Artz Music-C</t>
  </si>
  <si>
    <t>JM Doodle Artz Seasons</t>
  </si>
  <si>
    <t>JM Doodle Artz Seasons-C</t>
  </si>
  <si>
    <t>JM Doodle Artz Transport</t>
  </si>
  <si>
    <t>JM Doodle Artz Transport-C</t>
  </si>
  <si>
    <t>Jointflex Cream-90gms</t>
  </si>
  <si>
    <t>Joint Flex</t>
  </si>
  <si>
    <t>Lacto Calamine -Charcoal FW 100gm</t>
  </si>
  <si>
    <t>Lacto Facial Wipes 25's</t>
  </si>
  <si>
    <t>LC charcoal foaming face wash</t>
  </si>
  <si>
    <t>LC Face Lotion Aloe 120ml</t>
  </si>
  <si>
    <t>LC Face Lotion Aloe 30ml</t>
  </si>
  <si>
    <t>LC Face Lotion Aloe 60ml</t>
  </si>
  <si>
    <t>LC Face Lotion Oily Skin 120ml</t>
  </si>
  <si>
    <t>LC Face Lotion Oily Skin 30ml</t>
  </si>
  <si>
    <t>LC New Sunscreen CP 50g in Hanger</t>
  </si>
  <si>
    <t>LC Under Eye Cream with Roll On</t>
  </si>
  <si>
    <t>Little's  Wipes Lid 80 Wipes (Pack of 2)</t>
  </si>
  <si>
    <t>Little's 3 in 1 Infant Classic Gift Pack</t>
  </si>
  <si>
    <t>Little's Activity and Learning Ball</t>
  </si>
  <si>
    <t>Little's Baby Wipes 72's</t>
  </si>
  <si>
    <t>Little's Baby Wipes 80's</t>
  </si>
  <si>
    <t>401179198/248</t>
  </si>
  <si>
    <t>Little's Bath time Floating Boats</t>
  </si>
  <si>
    <t>Little's Classic Maxi Feeding Btl Blue</t>
  </si>
  <si>
    <t>Little's Classic Maxi Feeding Btl-Pink</t>
  </si>
  <si>
    <t>Littles Comfy pant Jumbo Standard L(30)</t>
  </si>
  <si>
    <t>Littles Comfy pant Jumbo Standard M(34)</t>
  </si>
  <si>
    <t>Littles Comfy pant Jumbo Standard S(40)</t>
  </si>
  <si>
    <t>Littles Comfy pant Mid Premium M(4)</t>
  </si>
  <si>
    <t>Littles Comfy pant Mid Premium S(4)</t>
  </si>
  <si>
    <t>Littles Comfy pant Mid Premium XL(4)</t>
  </si>
  <si>
    <t>Littles Comfy Pants Jumbo NB40 Pack of 3</t>
  </si>
  <si>
    <t xml:space="preserve">Littles Comfy pants Super Jumbo L (62)  </t>
  </si>
  <si>
    <t>Littles Comfy pants Super Jumbo M(72)</t>
  </si>
  <si>
    <t>Littles Comfy pants Super Jumbo S (78)</t>
  </si>
  <si>
    <t>Littles Comfy pants Super Jumbo XL (54)</t>
  </si>
  <si>
    <t>Little's Diapers GT Pack M9</t>
  </si>
  <si>
    <t>Little's Easy Dry Large</t>
  </si>
  <si>
    <t>401179018/218</t>
  </si>
  <si>
    <t>Little's Junior Rings-New-C</t>
  </si>
  <si>
    <t>Little's Lighthouse Stacking Drums</t>
  </si>
  <si>
    <t>Littles Nestin Eggs</t>
  </si>
  <si>
    <t>Little's Poly Maxi Feeding Bottle</t>
  </si>
  <si>
    <t>401179127/183</t>
  </si>
  <si>
    <t>Little's Poly Mini Feeding Bottle</t>
  </si>
  <si>
    <t>401179128/184</t>
  </si>
  <si>
    <t>Luciara Cream 50g</t>
  </si>
  <si>
    <t>Luciara</t>
  </si>
  <si>
    <t>401378001/04</t>
  </si>
  <si>
    <t>Naturolax-A 110gm</t>
  </si>
  <si>
    <t>Naturolax-A 300gm</t>
  </si>
  <si>
    <t>401181004/009</t>
  </si>
  <si>
    <t>Neko Daily Hygiene Soap 100g</t>
  </si>
  <si>
    <t>New Saridon Tablet 10'S</t>
  </si>
  <si>
    <t>Nixit Chewing Gum 2 mg</t>
  </si>
  <si>
    <t>Polaramine Tablets (2MG) 350s</t>
  </si>
  <si>
    <t>Polaramine</t>
  </si>
  <si>
    <t>Polycrol Mint 450ML</t>
  </si>
  <si>
    <t>400111046/49</t>
  </si>
  <si>
    <t>Saridon 21+1  monocarton</t>
  </si>
  <si>
    <t>Saridon Advance</t>
  </si>
  <si>
    <t>400127020/21</t>
  </si>
  <si>
    <t>Sloan's Balm 10GM</t>
  </si>
  <si>
    <t>401210001/17</t>
  </si>
  <si>
    <t>Sloan's Balm 20GM</t>
  </si>
  <si>
    <t>401210002/18</t>
  </si>
  <si>
    <t>Supradyn Daily</t>
  </si>
  <si>
    <t>SUPRADYN DAILY TABLETS 60'S BOTTLE</t>
  </si>
  <si>
    <t>Supradyn Immunity TAFI BT 10 IN</t>
  </si>
  <si>
    <t>Supradyn Naturals Iron TAFI BT 30 IN</t>
  </si>
  <si>
    <t>Tetmosol Dusting powder</t>
  </si>
  <si>
    <t>Tetmosol Dusting Powder-Fresh Lime100g</t>
  </si>
  <si>
    <t>Tetmosol Soap 100GM</t>
  </si>
  <si>
    <t>Tri-Activ  Floor Cleaner DC 1000ml-BOGO Pack</t>
  </si>
  <si>
    <t>Waterburys Compound A 250ml</t>
  </si>
  <si>
    <t>Waterbury</t>
  </si>
  <si>
    <t>Lacto Calamine VitaminC Sugar Body Scrub</t>
  </si>
  <si>
    <t>Lacto Calamine 3 in 1 Charcoal Mask</t>
  </si>
  <si>
    <t>L (in ft )</t>
  </si>
  <si>
    <t>W (in ft)</t>
  </si>
  <si>
    <t>H (in ft )</t>
  </si>
  <si>
    <t>Max layers for these brands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</si>
</sst>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0.000"/>
    <numFmt numFmtId="166" formatCode="0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ptos Narrow"/>
      <family val="2"/>
      <scheme val="minor"/>
    </font>
    <font>
      <sz val="10"/>
      <name val="Aptos Narrow"/>
      <family val="2"/>
      <scheme val="minor"/>
    </font>
    <font>
      <sz val="11"/>
      <color rgb="FF1F497D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53">
    <xf numFmtId="0" fontId="0" fillId="0" borderId="0" xfId="0"/>
    <xf numFmtId="1" fontId="3" fillId="2" borderId="1" xfId="2" applyNumberFormat="1" applyFont="1" applyFill="1" applyBorder="1" applyAlignment="1">
      <alignment horizontal="center" vertical="center" wrapText="1"/>
    </xf>
    <xf numFmtId="1" fontId="3" fillId="2" borderId="2" xfId="2" applyNumberFormat="1" applyFont="1" applyFill="1" applyBorder="1" applyAlignment="1">
      <alignment horizontal="center" vertical="center" wrapText="1"/>
    </xf>
    <xf numFmtId="1" fontId="3" fillId="2" borderId="3" xfId="2" applyNumberFormat="1" applyFont="1" applyFill="1" applyBorder="1" applyAlignment="1">
      <alignment horizontal="center" vertical="center" wrapText="1"/>
    </xf>
    <xf numFmtId="1" fontId="3" fillId="3" borderId="2" xfId="2" applyNumberFormat="1" applyFont="1" applyFill="1" applyBorder="1" applyAlignment="1">
      <alignment horizontal="center" vertical="center" wrapText="1"/>
    </xf>
    <xf numFmtId="165" fontId="3" fillId="4" borderId="1" xfId="2" applyNumberFormat="1" applyFont="1" applyFill="1" applyBorder="1" applyAlignment="1">
      <alignment horizontal="center" vertical="center" wrapText="1"/>
    </xf>
    <xf numFmtId="1" fontId="3" fillId="4" borderId="2" xfId="2" applyNumberFormat="1" applyFont="1" applyFill="1" applyBorder="1" applyAlignment="1">
      <alignment horizontal="center" vertical="center" wrapText="1"/>
    </xf>
    <xf numFmtId="0" fontId="4" fillId="5" borderId="4" xfId="2" applyFont="1" applyFill="1" applyBorder="1" applyAlignment="1">
      <alignment horizontal="left"/>
    </xf>
    <xf numFmtId="0" fontId="0" fillId="5" borderId="4" xfId="0" applyFill="1" applyBorder="1" applyAlignment="1">
      <alignment horizontal="center"/>
    </xf>
    <xf numFmtId="0" fontId="4" fillId="5" borderId="4" xfId="2" applyFont="1" applyFill="1" applyBorder="1" applyAlignment="1">
      <alignment horizontal="center"/>
    </xf>
    <xf numFmtId="0" fontId="0" fillId="5" borderId="4" xfId="0" applyFill="1" applyBorder="1" applyAlignment="1">
      <alignment horizontal="center" vertical="top"/>
    </xf>
    <xf numFmtId="165" fontId="0" fillId="5" borderId="4" xfId="0" applyNumberFormat="1" applyFill="1" applyBorder="1" applyAlignment="1">
      <alignment horizontal="center"/>
    </xf>
    <xf numFmtId="165" fontId="4" fillId="5" borderId="4" xfId="1" applyNumberFormat="1" applyFont="1" applyFill="1" applyBorder="1" applyAlignment="1">
      <alignment horizontal="center"/>
    </xf>
    <xf numFmtId="0" fontId="0" fillId="5" borderId="4" xfId="0" applyFill="1" applyBorder="1" applyAlignment="1">
      <alignment vertical="top"/>
    </xf>
    <xf numFmtId="0" fontId="0" fillId="5" borderId="4" xfId="0" applyFill="1" applyBorder="1"/>
    <xf numFmtId="0" fontId="0" fillId="0" borderId="4" xfId="0" applyBorder="1" applyAlignment="1">
      <alignment vertical="top"/>
    </xf>
    <xf numFmtId="0" fontId="0" fillId="5" borderId="4" xfId="1" applyNumberFormat="1" applyFont="1" applyFill="1" applyBorder="1" applyAlignment="1">
      <alignment horizontal="center"/>
    </xf>
    <xf numFmtId="0" fontId="0" fillId="0" borderId="4" xfId="0" applyBorder="1"/>
    <xf numFmtId="166" fontId="4" fillId="5" borderId="4" xfId="0" applyNumberFormat="1" applyFont="1" applyFill="1" applyBorder="1" applyAlignment="1">
      <alignment horizontal="center"/>
    </xf>
    <xf numFmtId="0" fontId="5" fillId="0" borderId="4" xfId="0" applyFont="1" applyBorder="1"/>
    <xf numFmtId="0" fontId="5" fillId="5" borderId="4" xfId="0" applyFont="1" applyFill="1" applyBorder="1" applyAlignment="1">
      <alignment horizontal="center"/>
    </xf>
    <xf numFmtId="0" fontId="4" fillId="0" borderId="4" xfId="2" applyFont="1" applyBorder="1" applyAlignment="1">
      <alignment horizontal="left"/>
    </xf>
    <xf numFmtId="0" fontId="0" fillId="0" borderId="4" xfId="0" applyBorder="1" applyAlignment="1">
      <alignment vertical="center" wrapText="1"/>
    </xf>
    <xf numFmtId="0" fontId="0" fillId="5" borderId="4" xfId="0" applyFill="1" applyBorder="1" applyAlignment="1">
      <alignment horizontal="center" vertical="center" wrapText="1"/>
    </xf>
    <xf numFmtId="0" fontId="0" fillId="6" borderId="5" xfId="0" applyFill="1" applyBorder="1" applyAlignment="1">
      <alignment vertical="top"/>
    </xf>
    <xf numFmtId="0" fontId="0" fillId="6" borderId="4" xfId="0" applyFill="1" applyBorder="1" applyAlignment="1">
      <alignment horizontal="center"/>
    </xf>
    <xf numFmtId="0" fontId="0" fillId="6" borderId="6" xfId="0" applyFill="1" applyBorder="1" applyAlignment="1">
      <alignment horizontal="center" vertical="top"/>
    </xf>
    <xf numFmtId="0" fontId="0" fillId="6" borderId="7" xfId="0" applyFill="1" applyBorder="1" applyAlignment="1">
      <alignment horizontal="center" vertical="top"/>
    </xf>
    <xf numFmtId="165" fontId="0" fillId="6" borderId="5" xfId="0" applyNumberFormat="1" applyFill="1" applyBorder="1" applyAlignment="1">
      <alignment horizontal="center"/>
    </xf>
    <xf numFmtId="0" fontId="0" fillId="5" borderId="5" xfId="0" applyFill="1" applyBorder="1" applyAlignment="1">
      <alignment vertical="top"/>
    </xf>
    <xf numFmtId="0" fontId="0" fillId="5" borderId="6" xfId="0" applyFill="1" applyBorder="1" applyAlignment="1">
      <alignment horizontal="center" vertical="top"/>
    </xf>
    <xf numFmtId="0" fontId="0" fillId="5" borderId="7" xfId="0" applyFill="1" applyBorder="1" applyAlignment="1">
      <alignment horizontal="center" vertical="top"/>
    </xf>
    <xf numFmtId="165" fontId="0" fillId="5" borderId="5" xfId="0" applyNumberFormat="1" applyFill="1" applyBorder="1" applyAlignment="1">
      <alignment horizontal="center"/>
    </xf>
    <xf numFmtId="0" fontId="4" fillId="5" borderId="5" xfId="2" applyFont="1" applyFill="1" applyBorder="1" applyAlignment="1">
      <alignment horizontal="left"/>
    </xf>
    <xf numFmtId="0" fontId="4" fillId="5" borderId="6" xfId="2" applyFont="1" applyFill="1" applyBorder="1" applyAlignment="1">
      <alignment horizontal="center"/>
    </xf>
    <xf numFmtId="165" fontId="4" fillId="5" borderId="5" xfId="1" applyNumberFormat="1" applyFont="1" applyFill="1" applyBorder="1" applyAlignment="1">
      <alignment horizontal="center"/>
    </xf>
    <xf numFmtId="0" fontId="5" fillId="5" borderId="5" xfId="0" applyFont="1" applyFill="1" applyBorder="1"/>
    <xf numFmtId="0" fontId="5" fillId="5" borderId="6" xfId="0" applyFont="1" applyFill="1" applyBorder="1" applyAlignment="1">
      <alignment horizontal="center"/>
    </xf>
    <xf numFmtId="0" fontId="0" fillId="5" borderId="6" xfId="1" applyNumberFormat="1" applyFont="1" applyFill="1" applyBorder="1" applyAlignment="1">
      <alignment horizontal="center"/>
    </xf>
    <xf numFmtId="0" fontId="0" fillId="5" borderId="5" xfId="0" applyFill="1" applyBorder="1" applyAlignment="1">
      <alignment vertical="center"/>
    </xf>
    <xf numFmtId="0" fontId="0" fillId="5" borderId="6" xfId="0" applyFill="1" applyBorder="1" applyAlignment="1">
      <alignment horizontal="center"/>
    </xf>
    <xf numFmtId="0" fontId="0" fillId="5" borderId="5" xfId="0" applyFill="1" applyBorder="1"/>
    <xf numFmtId="0" fontId="6" fillId="5" borderId="6" xfId="0" applyFont="1" applyFill="1" applyBorder="1" applyAlignment="1">
      <alignment horizontal="center"/>
    </xf>
    <xf numFmtId="0" fontId="4" fillId="5" borderId="8" xfId="2" applyFont="1" applyFill="1" applyBorder="1" applyAlignment="1">
      <alignment horizontal="left"/>
    </xf>
    <xf numFmtId="0" fontId="0" fillId="5" borderId="9" xfId="0" applyFill="1" applyBorder="1" applyAlignment="1">
      <alignment horizontal="center"/>
    </xf>
    <xf numFmtId="0" fontId="4" fillId="5" borderId="10" xfId="2" applyFont="1" applyFill="1" applyBorder="1" applyAlignment="1">
      <alignment horizontal="center"/>
    </xf>
    <xf numFmtId="165" fontId="4" fillId="5" borderId="8" xfId="1" applyNumberFormat="1" applyFont="1" applyFill="1" applyBorder="1" applyAlignment="1">
      <alignment horizontal="center"/>
    </xf>
    <xf numFmtId="0" fontId="7" fillId="0" borderId="11" xfId="0" applyFont="1" applyBorder="1" applyAlignment="1">
      <alignment vertical="center"/>
    </xf>
    <xf numFmtId="0" fontId="0" fillId="5" borderId="12" xfId="0" applyFill="1" applyBorder="1" applyAlignment="1">
      <alignment horizontal="center"/>
    </xf>
    <xf numFmtId="0" fontId="7" fillId="0" borderId="13" xfId="0" applyFont="1" applyBorder="1" applyAlignment="1">
      <alignment horizontal="right" vertical="center"/>
    </xf>
    <xf numFmtId="0" fontId="0" fillId="5" borderId="14" xfId="0" applyFill="1" applyBorder="1" applyAlignment="1">
      <alignment horizontal="right"/>
    </xf>
    <xf numFmtId="0" fontId="0" fillId="5" borderId="15" xfId="0" applyFill="1" applyBorder="1" applyAlignment="1">
      <alignment horizontal="center"/>
    </xf>
    <xf numFmtId="1" fontId="3" fillId="4" borderId="12" xfId="2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8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6"/>
  <sheetViews>
    <sheetView tabSelected="1" workbookViewId="0">
      <selection activeCell="P19" sqref="P19"/>
    </sheetView>
  </sheetViews>
  <sheetFormatPr defaultRowHeight="14.4" x14ac:dyDescent="0.3"/>
  <cols>
    <col min="1" max="1" width="37.21875" bestFit="1" customWidth="1"/>
    <col min="2" max="2" width="11.33203125" bestFit="1" customWidth="1"/>
    <col min="3" max="3" width="9.88671875" bestFit="1" customWidth="1"/>
    <col min="4" max="4" width="12.21875" bestFit="1" customWidth="1"/>
    <col min="5" max="5" width="8.33203125" bestFit="1" customWidth="1"/>
    <col min="6" max="6" width="7.44140625" bestFit="1" customWidth="1"/>
    <col min="7" max="7" width="7.6640625" bestFit="1" customWidth="1"/>
    <col min="8" max="8" width="6" bestFit="1" customWidth="1"/>
    <col min="9" max="9" width="6.77734375" bestFit="1" customWidth="1"/>
    <col min="10" max="10" width="6.33203125" bestFit="1" customWidth="1"/>
  </cols>
  <sheetData>
    <row r="1" spans="1:14" ht="57.6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354</v>
      </c>
      <c r="L1" s="6" t="s">
        <v>355</v>
      </c>
      <c r="M1" s="6" t="s">
        <v>356</v>
      </c>
      <c r="N1" s="52" t="s">
        <v>357</v>
      </c>
    </row>
    <row r="2" spans="1:14" x14ac:dyDescent="0.3">
      <c r="A2" s="7" t="s">
        <v>10</v>
      </c>
      <c r="B2" s="8" t="s">
        <v>11</v>
      </c>
      <c r="C2" s="9">
        <v>401353008</v>
      </c>
      <c r="D2" s="9">
        <v>401353008</v>
      </c>
      <c r="E2" s="10">
        <v>500</v>
      </c>
      <c r="F2" s="8">
        <v>2.1</v>
      </c>
      <c r="G2" s="11">
        <v>0.37296500335487515</v>
      </c>
      <c r="H2" s="8">
        <v>34.200000000000003</v>
      </c>
      <c r="I2" s="8">
        <v>17</v>
      </c>
      <c r="J2" s="8">
        <v>17.5</v>
      </c>
      <c r="K2" s="17">
        <f>H2/30.48</f>
        <v>1.1220472440944882</v>
      </c>
      <c r="L2" s="17">
        <f>I2/30.48</f>
        <v>0.55774278215223094</v>
      </c>
      <c r="M2" s="17">
        <f>J2/30.48</f>
        <v>0.5741469816272966</v>
      </c>
    </row>
    <row r="3" spans="1:14" x14ac:dyDescent="0.3">
      <c r="A3" s="7" t="s">
        <v>12</v>
      </c>
      <c r="B3" s="8" t="s">
        <v>11</v>
      </c>
      <c r="C3" s="9">
        <v>401353010</v>
      </c>
      <c r="D3" s="9">
        <v>401353010</v>
      </c>
      <c r="E3" s="10">
        <v>50</v>
      </c>
      <c r="F3" s="8">
        <v>12.47</v>
      </c>
      <c r="G3" s="12">
        <v>0.77497616272910252</v>
      </c>
      <c r="H3" s="8">
        <v>28.5</v>
      </c>
      <c r="I3" s="8">
        <v>27.5</v>
      </c>
      <c r="J3" s="8">
        <v>26.2</v>
      </c>
      <c r="K3" s="17">
        <f t="shared" ref="K3:K66" si="0">H3/30.48</f>
        <v>0.93503937007874016</v>
      </c>
      <c r="L3" s="17">
        <f t="shared" ref="L3:L66" si="1">I3/30.48</f>
        <v>0.90223097112860895</v>
      </c>
      <c r="M3" s="17">
        <f t="shared" ref="M3:M66" si="2">J3/30.48</f>
        <v>0.85958005249343827</v>
      </c>
    </row>
    <row r="4" spans="1:14" x14ac:dyDescent="0.3">
      <c r="A4" s="7" t="s">
        <v>13</v>
      </c>
      <c r="B4" s="8" t="s">
        <v>11</v>
      </c>
      <c r="C4" s="9">
        <v>401353005</v>
      </c>
      <c r="D4" s="9">
        <v>401353005</v>
      </c>
      <c r="E4" s="10">
        <v>500</v>
      </c>
      <c r="F4" s="8">
        <v>1.6</v>
      </c>
      <c r="G4" s="11">
        <v>0.34067432990782914</v>
      </c>
      <c r="H4" s="8">
        <v>31.5</v>
      </c>
      <c r="I4" s="8">
        <v>16.5</v>
      </c>
      <c r="J4" s="8">
        <v>17</v>
      </c>
      <c r="K4" s="17">
        <f t="shared" si="0"/>
        <v>1.0334645669291338</v>
      </c>
      <c r="L4" s="17">
        <f t="shared" si="1"/>
        <v>0.54133858267716539</v>
      </c>
      <c r="M4" s="17">
        <f t="shared" si="2"/>
        <v>0.55774278215223094</v>
      </c>
    </row>
    <row r="5" spans="1:14" x14ac:dyDescent="0.3">
      <c r="A5" s="7" t="s">
        <v>14</v>
      </c>
      <c r="B5" s="8" t="s">
        <v>15</v>
      </c>
      <c r="C5" s="9">
        <v>400015005</v>
      </c>
      <c r="D5" s="9">
        <v>400015005</v>
      </c>
      <c r="E5" s="10">
        <v>840</v>
      </c>
      <c r="F5" s="8">
        <v>12.32</v>
      </c>
      <c r="G5" s="12">
        <v>2.5627052653882827</v>
      </c>
      <c r="H5" s="8">
        <v>47.5</v>
      </c>
      <c r="I5" s="8">
        <v>47.5</v>
      </c>
      <c r="J5" s="8">
        <v>31</v>
      </c>
      <c r="K5" s="17">
        <f t="shared" si="0"/>
        <v>1.5583989501312336</v>
      </c>
      <c r="L5" s="17">
        <f t="shared" si="1"/>
        <v>1.5583989501312336</v>
      </c>
      <c r="M5" s="17">
        <f t="shared" si="2"/>
        <v>1.0170603674540681</v>
      </c>
    </row>
    <row r="6" spans="1:14" x14ac:dyDescent="0.3">
      <c r="A6" s="7" t="s">
        <v>16</v>
      </c>
      <c r="B6" s="8" t="s">
        <v>17</v>
      </c>
      <c r="C6" s="9">
        <v>400016001</v>
      </c>
      <c r="D6" s="9">
        <v>400016001</v>
      </c>
      <c r="E6" s="10">
        <v>300</v>
      </c>
      <c r="F6" s="8">
        <v>1.35</v>
      </c>
      <c r="G6" s="11">
        <v>0.25353144754034679</v>
      </c>
      <c r="H6" s="8">
        <v>23</v>
      </c>
      <c r="I6" s="8">
        <v>23</v>
      </c>
      <c r="J6" s="8">
        <v>13</v>
      </c>
      <c r="K6" s="17">
        <f t="shared" si="0"/>
        <v>0.75459317585301833</v>
      </c>
      <c r="L6" s="17">
        <f t="shared" si="1"/>
        <v>0.75459317585301833</v>
      </c>
      <c r="M6" s="17">
        <f t="shared" si="2"/>
        <v>0.42650918635170604</v>
      </c>
    </row>
    <row r="7" spans="1:14" x14ac:dyDescent="0.3">
      <c r="A7" s="7" t="s">
        <v>18</v>
      </c>
      <c r="B7" s="8" t="s">
        <v>19</v>
      </c>
      <c r="C7" s="9">
        <v>401376007</v>
      </c>
      <c r="D7" s="9">
        <v>401376007</v>
      </c>
      <c r="E7" s="10">
        <v>48</v>
      </c>
      <c r="F7" s="8">
        <v>3.8</v>
      </c>
      <c r="G7" s="11">
        <v>0.50166666666666671</v>
      </c>
      <c r="H7" s="8">
        <v>35</v>
      </c>
      <c r="I7" s="8">
        <v>28</v>
      </c>
      <c r="J7" s="8">
        <v>15.9</v>
      </c>
      <c r="K7" s="17">
        <f t="shared" si="0"/>
        <v>1.1482939632545932</v>
      </c>
      <c r="L7" s="17">
        <f t="shared" si="1"/>
        <v>0.9186351706036745</v>
      </c>
      <c r="M7" s="17">
        <f t="shared" si="2"/>
        <v>0.52165354330708658</v>
      </c>
    </row>
    <row r="8" spans="1:14" x14ac:dyDescent="0.3">
      <c r="A8" s="7" t="s">
        <v>20</v>
      </c>
      <c r="B8" s="8" t="s">
        <v>19</v>
      </c>
      <c r="C8" s="9">
        <v>401376006</v>
      </c>
      <c r="D8" s="9">
        <v>401376006</v>
      </c>
      <c r="E8" s="10">
        <v>200</v>
      </c>
      <c r="F8" s="8">
        <v>6.9</v>
      </c>
      <c r="G8" s="11">
        <v>1.4572916666666667</v>
      </c>
      <c r="H8" s="8">
        <v>41</v>
      </c>
      <c r="I8" s="8">
        <v>31</v>
      </c>
      <c r="J8" s="8">
        <v>32.5</v>
      </c>
      <c r="K8" s="17">
        <f t="shared" si="0"/>
        <v>1.3451443569553805</v>
      </c>
      <c r="L8" s="17">
        <f t="shared" si="1"/>
        <v>1.0170603674540681</v>
      </c>
      <c r="M8" s="17">
        <f t="shared" si="2"/>
        <v>1.0662729658792651</v>
      </c>
    </row>
    <row r="9" spans="1:14" x14ac:dyDescent="0.3">
      <c r="A9" s="13" t="s">
        <v>21</v>
      </c>
      <c r="B9" s="8" t="s">
        <v>22</v>
      </c>
      <c r="C9" s="10">
        <v>401179482</v>
      </c>
      <c r="D9" s="9">
        <v>401179482</v>
      </c>
      <c r="E9" s="10">
        <v>108</v>
      </c>
      <c r="F9" s="8">
        <v>9.8000000000000007</v>
      </c>
      <c r="G9" s="11">
        <v>1.8044374999999999</v>
      </c>
      <c r="H9" s="8">
        <v>56</v>
      </c>
      <c r="I9" s="8">
        <v>45</v>
      </c>
      <c r="J9" s="8">
        <v>54.5</v>
      </c>
      <c r="K9" s="17">
        <f t="shared" si="0"/>
        <v>1.837270341207349</v>
      </c>
      <c r="L9" s="17">
        <f t="shared" si="1"/>
        <v>1.4763779527559056</v>
      </c>
      <c r="M9" s="17">
        <f t="shared" si="2"/>
        <v>1.7880577427821522</v>
      </c>
      <c r="N9">
        <v>7</v>
      </c>
    </row>
    <row r="10" spans="1:14" x14ac:dyDescent="0.3">
      <c r="A10" s="13" t="s">
        <v>23</v>
      </c>
      <c r="B10" s="8" t="s">
        <v>22</v>
      </c>
      <c r="C10" s="10">
        <v>401179518</v>
      </c>
      <c r="D10" s="9">
        <v>401179518</v>
      </c>
      <c r="E10" s="10">
        <v>8</v>
      </c>
      <c r="F10" s="8">
        <v>5.9</v>
      </c>
      <c r="G10" s="11">
        <v>1.8044629629629629</v>
      </c>
      <c r="H10" s="14">
        <v>50</v>
      </c>
      <c r="I10" s="8">
        <v>33</v>
      </c>
      <c r="J10" s="8">
        <v>39.5</v>
      </c>
      <c r="K10" s="17">
        <f t="shared" si="0"/>
        <v>1.6404199475065617</v>
      </c>
      <c r="L10" s="17">
        <f t="shared" si="1"/>
        <v>1.0826771653543308</v>
      </c>
      <c r="M10" s="17">
        <f t="shared" si="2"/>
        <v>1.2959317585301837</v>
      </c>
      <c r="N10">
        <v>7</v>
      </c>
    </row>
    <row r="11" spans="1:14" x14ac:dyDescent="0.3">
      <c r="A11" s="7" t="s">
        <v>24</v>
      </c>
      <c r="B11" s="8" t="s">
        <v>22</v>
      </c>
      <c r="C11" s="9">
        <v>400293018</v>
      </c>
      <c r="D11" s="9">
        <v>400293018</v>
      </c>
      <c r="E11" s="10">
        <v>48</v>
      </c>
      <c r="F11" s="8">
        <v>10.1</v>
      </c>
      <c r="G11" s="12">
        <v>1.0079810714411837</v>
      </c>
      <c r="H11" s="8">
        <v>35.5</v>
      </c>
      <c r="I11" s="8">
        <v>33.5</v>
      </c>
      <c r="J11" s="8">
        <v>23</v>
      </c>
      <c r="K11" s="17">
        <f t="shared" si="0"/>
        <v>1.1646981627296589</v>
      </c>
      <c r="L11" s="17">
        <f t="shared" si="1"/>
        <v>1.0990813648293962</v>
      </c>
      <c r="M11" s="17">
        <f t="shared" si="2"/>
        <v>0.75459317585301833</v>
      </c>
      <c r="N11">
        <v>7</v>
      </c>
    </row>
    <row r="12" spans="1:14" x14ac:dyDescent="0.3">
      <c r="A12" s="7" t="s">
        <v>25</v>
      </c>
      <c r="B12" s="8" t="s">
        <v>26</v>
      </c>
      <c r="C12" s="9">
        <v>401384001</v>
      </c>
      <c r="D12" s="9">
        <v>401384001</v>
      </c>
      <c r="E12" s="10">
        <v>100</v>
      </c>
      <c r="F12" s="8">
        <v>6</v>
      </c>
      <c r="G12" s="11">
        <v>1.8442708333333331</v>
      </c>
      <c r="H12" s="8">
        <v>49</v>
      </c>
      <c r="I12" s="8">
        <v>35</v>
      </c>
      <c r="J12" s="8">
        <v>33</v>
      </c>
      <c r="K12" s="17">
        <f t="shared" si="0"/>
        <v>1.6076115485564304</v>
      </c>
      <c r="L12" s="17">
        <f t="shared" si="1"/>
        <v>1.1482939632545932</v>
      </c>
      <c r="M12" s="17">
        <f t="shared" si="2"/>
        <v>1.0826771653543308</v>
      </c>
    </row>
    <row r="13" spans="1:14" x14ac:dyDescent="0.3">
      <c r="A13" s="7" t="s">
        <v>27</v>
      </c>
      <c r="B13" s="8" t="s">
        <v>28</v>
      </c>
      <c r="C13" s="10">
        <v>401285016</v>
      </c>
      <c r="D13" s="9" t="s">
        <v>29</v>
      </c>
      <c r="E13" s="10">
        <v>128</v>
      </c>
      <c r="F13" s="8">
        <v>18.38</v>
      </c>
      <c r="G13" s="11">
        <v>1.4948617438287954</v>
      </c>
      <c r="H13" s="8">
        <v>40.5</v>
      </c>
      <c r="I13" s="8">
        <v>40.5</v>
      </c>
      <c r="J13" s="8">
        <v>25</v>
      </c>
      <c r="K13" s="17">
        <f t="shared" si="0"/>
        <v>1.328740157480315</v>
      </c>
      <c r="L13" s="17">
        <f t="shared" si="1"/>
        <v>1.328740157480315</v>
      </c>
      <c r="M13" s="17">
        <f t="shared" si="2"/>
        <v>0.82020997375328086</v>
      </c>
    </row>
    <row r="14" spans="1:14" x14ac:dyDescent="0.3">
      <c r="A14" s="7" t="s">
        <v>30</v>
      </c>
      <c r="B14" s="8" t="s">
        <v>28</v>
      </c>
      <c r="C14" s="10">
        <v>401285017</v>
      </c>
      <c r="D14" s="9" t="s">
        <v>31</v>
      </c>
      <c r="E14" s="10">
        <v>72</v>
      </c>
      <c r="F14" s="8">
        <v>19.850000000000001</v>
      </c>
      <c r="G14" s="11">
        <v>1.5643209026379914</v>
      </c>
      <c r="H14" s="8">
        <v>37.5</v>
      </c>
      <c r="I14" s="8">
        <v>37.5</v>
      </c>
      <c r="J14" s="8">
        <v>32</v>
      </c>
      <c r="K14" s="17">
        <f t="shared" si="0"/>
        <v>1.2303149606299213</v>
      </c>
      <c r="L14" s="17">
        <f t="shared" si="1"/>
        <v>1.2303149606299213</v>
      </c>
      <c r="M14" s="17">
        <f t="shared" si="2"/>
        <v>1.0498687664041995</v>
      </c>
    </row>
    <row r="15" spans="1:14" x14ac:dyDescent="0.3">
      <c r="A15" s="7" t="s">
        <v>32</v>
      </c>
      <c r="B15" s="8" t="s">
        <v>28</v>
      </c>
      <c r="C15" s="9">
        <v>401285012</v>
      </c>
      <c r="D15" s="9">
        <v>401285012</v>
      </c>
      <c r="E15" s="10">
        <v>72</v>
      </c>
      <c r="F15" s="8">
        <v>21.12</v>
      </c>
      <c r="G15" s="11">
        <v>1.5643209026379914</v>
      </c>
      <c r="H15" s="8">
        <v>37.5</v>
      </c>
      <c r="I15" s="8">
        <v>37.5</v>
      </c>
      <c r="J15" s="8">
        <v>32</v>
      </c>
      <c r="K15" s="17">
        <f t="shared" si="0"/>
        <v>1.2303149606299213</v>
      </c>
      <c r="L15" s="17">
        <f t="shared" si="1"/>
        <v>1.2303149606299213</v>
      </c>
      <c r="M15" s="17">
        <f t="shared" si="2"/>
        <v>1.0498687664041995</v>
      </c>
    </row>
    <row r="16" spans="1:14" x14ac:dyDescent="0.3">
      <c r="A16" s="7" t="s">
        <v>33</v>
      </c>
      <c r="B16" s="8" t="s">
        <v>28</v>
      </c>
      <c r="C16" s="9">
        <v>401285008</v>
      </c>
      <c r="D16" s="9">
        <v>401285008</v>
      </c>
      <c r="E16" s="10">
        <v>500</v>
      </c>
      <c r="F16" s="8">
        <v>6.7</v>
      </c>
      <c r="G16" s="11">
        <v>1.785011574074074</v>
      </c>
      <c r="H16" s="8">
        <v>38</v>
      </c>
      <c r="I16" s="8">
        <v>34.5</v>
      </c>
      <c r="J16" s="8">
        <v>35</v>
      </c>
      <c r="K16" s="17">
        <f t="shared" si="0"/>
        <v>1.246719160104987</v>
      </c>
      <c r="L16" s="17">
        <f t="shared" si="1"/>
        <v>1.1318897637795275</v>
      </c>
      <c r="M16" s="17">
        <f t="shared" si="2"/>
        <v>1.1482939632545932</v>
      </c>
      <c r="N16">
        <v>5</v>
      </c>
    </row>
    <row r="17" spans="1:14" x14ac:dyDescent="0.3">
      <c r="A17" s="13" t="s">
        <v>34</v>
      </c>
      <c r="B17" s="8" t="s">
        <v>35</v>
      </c>
      <c r="C17" s="10">
        <v>401359018</v>
      </c>
      <c r="D17" s="9">
        <v>401359018</v>
      </c>
      <c r="E17" s="10">
        <v>24</v>
      </c>
      <c r="F17" s="8">
        <v>1.75</v>
      </c>
      <c r="G17" s="11">
        <v>0.53943055555555552</v>
      </c>
      <c r="H17" s="8">
        <v>32</v>
      </c>
      <c r="I17" s="8">
        <v>24.5</v>
      </c>
      <c r="J17" s="8">
        <v>20.5</v>
      </c>
      <c r="K17" s="17">
        <f t="shared" si="0"/>
        <v>1.0498687664041995</v>
      </c>
      <c r="L17" s="17">
        <f t="shared" si="1"/>
        <v>0.8038057742782152</v>
      </c>
      <c r="M17" s="17">
        <f t="shared" si="2"/>
        <v>0.67257217847769024</v>
      </c>
      <c r="N17">
        <v>5</v>
      </c>
    </row>
    <row r="18" spans="1:14" x14ac:dyDescent="0.3">
      <c r="A18" s="15" t="s">
        <v>36</v>
      </c>
      <c r="B18" s="8" t="s">
        <v>35</v>
      </c>
      <c r="C18" s="10">
        <v>401359017</v>
      </c>
      <c r="D18" s="9">
        <v>401359017</v>
      </c>
      <c r="E18" s="10">
        <v>24</v>
      </c>
      <c r="F18" s="8">
        <v>1.62</v>
      </c>
      <c r="G18" s="11">
        <v>0.53943055555555552</v>
      </c>
      <c r="H18" s="8">
        <v>32</v>
      </c>
      <c r="I18" s="8">
        <v>24.5</v>
      </c>
      <c r="J18" s="8">
        <v>20.5</v>
      </c>
      <c r="K18" s="17">
        <f t="shared" si="0"/>
        <v>1.0498687664041995</v>
      </c>
      <c r="L18" s="17">
        <f t="shared" si="1"/>
        <v>0.8038057742782152</v>
      </c>
      <c r="M18" s="17">
        <f t="shared" si="2"/>
        <v>0.67257217847769024</v>
      </c>
      <c r="N18">
        <v>5</v>
      </c>
    </row>
    <row r="19" spans="1:14" x14ac:dyDescent="0.3">
      <c r="A19" s="15" t="s">
        <v>37</v>
      </c>
      <c r="B19" s="8" t="s">
        <v>35</v>
      </c>
      <c r="C19" s="10">
        <v>401359016</v>
      </c>
      <c r="D19" s="9">
        <v>401359016</v>
      </c>
      <c r="E19" s="10">
        <v>24</v>
      </c>
      <c r="F19" s="8">
        <v>1.62</v>
      </c>
      <c r="G19" s="11">
        <v>0.53943055555555552</v>
      </c>
      <c r="H19" s="8">
        <v>32</v>
      </c>
      <c r="I19" s="8">
        <v>24.5</v>
      </c>
      <c r="J19" s="8">
        <v>20.5</v>
      </c>
      <c r="K19" s="17">
        <f t="shared" si="0"/>
        <v>1.0498687664041995</v>
      </c>
      <c r="L19" s="17">
        <f t="shared" si="1"/>
        <v>0.8038057742782152</v>
      </c>
      <c r="M19" s="17">
        <f t="shared" si="2"/>
        <v>0.67257217847769024</v>
      </c>
      <c r="N19">
        <v>5</v>
      </c>
    </row>
    <row r="20" spans="1:14" x14ac:dyDescent="0.3">
      <c r="A20" s="15" t="s">
        <v>38</v>
      </c>
      <c r="B20" s="8" t="s">
        <v>35</v>
      </c>
      <c r="C20" s="10">
        <v>400935098</v>
      </c>
      <c r="D20" s="9">
        <v>400935098</v>
      </c>
      <c r="E20" s="10">
        <v>24</v>
      </c>
      <c r="F20" s="8">
        <v>9.98</v>
      </c>
      <c r="G20" s="11">
        <v>3.9729027777777772</v>
      </c>
      <c r="H20" s="8">
        <v>46</v>
      </c>
      <c r="I20" s="8">
        <v>5.5</v>
      </c>
      <c r="J20" s="8">
        <v>50</v>
      </c>
      <c r="K20" s="17">
        <f t="shared" si="0"/>
        <v>1.5091863517060367</v>
      </c>
      <c r="L20" s="17">
        <f t="shared" si="1"/>
        <v>0.18044619422572178</v>
      </c>
      <c r="M20" s="17">
        <f t="shared" si="2"/>
        <v>1.6404199475065617</v>
      </c>
      <c r="N20">
        <v>5</v>
      </c>
    </row>
    <row r="21" spans="1:14" x14ac:dyDescent="0.3">
      <c r="A21" s="7" t="s">
        <v>39</v>
      </c>
      <c r="B21" s="8" t="s">
        <v>40</v>
      </c>
      <c r="C21" s="9">
        <v>401007007</v>
      </c>
      <c r="D21" s="9" t="s">
        <v>41</v>
      </c>
      <c r="E21" s="10">
        <v>20</v>
      </c>
      <c r="F21" s="8">
        <v>1.45</v>
      </c>
      <c r="G21" s="11">
        <v>0.45696048310202347</v>
      </c>
      <c r="H21" s="8">
        <v>33.5</v>
      </c>
      <c r="I21" s="8">
        <v>26.5</v>
      </c>
      <c r="J21" s="8">
        <v>13.5</v>
      </c>
      <c r="K21" s="17">
        <f t="shared" si="0"/>
        <v>1.0990813648293962</v>
      </c>
      <c r="L21" s="17">
        <f t="shared" si="1"/>
        <v>0.86942257217847763</v>
      </c>
      <c r="M21" s="17">
        <f t="shared" si="2"/>
        <v>0.44291338582677164</v>
      </c>
      <c r="N21">
        <v>5</v>
      </c>
    </row>
    <row r="22" spans="1:14" x14ac:dyDescent="0.3">
      <c r="A22" s="7" t="s">
        <v>42</v>
      </c>
      <c r="B22" s="8" t="s">
        <v>43</v>
      </c>
      <c r="C22" s="9">
        <v>401238004</v>
      </c>
      <c r="D22" s="9">
        <v>401238004</v>
      </c>
      <c r="E22" s="10">
        <v>16</v>
      </c>
      <c r="F22" s="8">
        <v>5.2</v>
      </c>
      <c r="G22" s="12">
        <v>0.99417311155842769</v>
      </c>
      <c r="H22" s="8">
        <v>35</v>
      </c>
      <c r="I22" s="8">
        <v>32.5</v>
      </c>
      <c r="J22" s="8">
        <v>26</v>
      </c>
      <c r="K22" s="17">
        <f t="shared" si="0"/>
        <v>1.1482939632545932</v>
      </c>
      <c r="L22" s="17">
        <f t="shared" si="1"/>
        <v>1.0662729658792651</v>
      </c>
      <c r="M22" s="17">
        <f t="shared" si="2"/>
        <v>0.85301837270341208</v>
      </c>
      <c r="N22">
        <v>5</v>
      </c>
    </row>
    <row r="23" spans="1:14" x14ac:dyDescent="0.3">
      <c r="A23" s="7" t="s">
        <v>44</v>
      </c>
      <c r="B23" s="8" t="s">
        <v>43</v>
      </c>
      <c r="C23" s="16">
        <v>401238039</v>
      </c>
      <c r="D23" s="9">
        <v>401238039</v>
      </c>
      <c r="E23" s="10">
        <v>16</v>
      </c>
      <c r="F23" s="8">
        <v>5.2</v>
      </c>
      <c r="G23" s="12">
        <v>0.99417311155842769</v>
      </c>
      <c r="H23" s="8">
        <v>35</v>
      </c>
      <c r="I23" s="8">
        <v>32.5</v>
      </c>
      <c r="J23" s="8">
        <v>26</v>
      </c>
      <c r="K23" s="17">
        <f t="shared" si="0"/>
        <v>1.1482939632545932</v>
      </c>
      <c r="L23" s="17">
        <f t="shared" si="1"/>
        <v>1.0662729658792651</v>
      </c>
      <c r="M23" s="17">
        <f t="shared" si="2"/>
        <v>0.85301837270341208</v>
      </c>
      <c r="N23">
        <v>5</v>
      </c>
    </row>
    <row r="24" spans="1:14" x14ac:dyDescent="0.3">
      <c r="A24" s="7" t="s">
        <v>45</v>
      </c>
      <c r="B24" s="8" t="s">
        <v>43</v>
      </c>
      <c r="C24" s="9">
        <v>401238021</v>
      </c>
      <c r="D24" s="9">
        <v>401238021</v>
      </c>
      <c r="E24" s="10">
        <v>40</v>
      </c>
      <c r="F24" s="8">
        <v>6.6</v>
      </c>
      <c r="G24" s="11">
        <v>1.4486174382879544</v>
      </c>
      <c r="H24" s="8">
        <v>42.5</v>
      </c>
      <c r="I24" s="8">
        <v>28.5</v>
      </c>
      <c r="J24" s="8">
        <v>33.5</v>
      </c>
      <c r="K24" s="17">
        <f t="shared" si="0"/>
        <v>1.3943569553805775</v>
      </c>
      <c r="L24" s="17">
        <f t="shared" si="1"/>
        <v>0.93503937007874016</v>
      </c>
      <c r="M24" s="17">
        <f t="shared" si="2"/>
        <v>1.0990813648293962</v>
      </c>
      <c r="N24">
        <v>5</v>
      </c>
    </row>
    <row r="25" spans="1:14" x14ac:dyDescent="0.3">
      <c r="A25" s="7" t="s">
        <v>46</v>
      </c>
      <c r="B25" s="8" t="s">
        <v>43</v>
      </c>
      <c r="C25" s="9">
        <v>401238009</v>
      </c>
      <c r="D25" s="9">
        <v>401238009</v>
      </c>
      <c r="E25" s="10">
        <v>40</v>
      </c>
      <c r="F25" s="8">
        <v>6.6</v>
      </c>
      <c r="G25" s="12">
        <v>0.88770138888888894</v>
      </c>
      <c r="H25" s="8">
        <v>41</v>
      </c>
      <c r="I25" s="8">
        <v>29</v>
      </c>
      <c r="J25" s="8">
        <v>34.5</v>
      </c>
      <c r="K25" s="17">
        <f t="shared" si="0"/>
        <v>1.3451443569553805</v>
      </c>
      <c r="L25" s="17">
        <f t="shared" si="1"/>
        <v>0.95144356955380571</v>
      </c>
      <c r="M25" s="17">
        <f t="shared" si="2"/>
        <v>1.1318897637795275</v>
      </c>
      <c r="N25">
        <v>5</v>
      </c>
    </row>
    <row r="26" spans="1:14" x14ac:dyDescent="0.3">
      <c r="A26" s="7" t="s">
        <v>47</v>
      </c>
      <c r="B26" s="8" t="s">
        <v>43</v>
      </c>
      <c r="C26" s="9">
        <v>401238010</v>
      </c>
      <c r="D26" s="9">
        <v>401238010</v>
      </c>
      <c r="E26" s="10">
        <v>40</v>
      </c>
      <c r="F26" s="8">
        <v>6.6</v>
      </c>
      <c r="G26" s="12">
        <v>1.4486174382879544</v>
      </c>
      <c r="H26" s="8">
        <v>42.5</v>
      </c>
      <c r="I26" s="8">
        <v>28.5</v>
      </c>
      <c r="J26" s="8">
        <v>33.5</v>
      </c>
      <c r="K26" s="17">
        <f t="shared" si="0"/>
        <v>1.3943569553805775</v>
      </c>
      <c r="L26" s="17">
        <f t="shared" si="1"/>
        <v>0.93503937007874016</v>
      </c>
      <c r="M26" s="17">
        <f t="shared" si="2"/>
        <v>1.0990813648293962</v>
      </c>
      <c r="N26">
        <v>5</v>
      </c>
    </row>
    <row r="27" spans="1:14" x14ac:dyDescent="0.3">
      <c r="A27" s="7" t="s">
        <v>48</v>
      </c>
      <c r="B27" s="8" t="s">
        <v>43</v>
      </c>
      <c r="C27" s="9">
        <v>401238011</v>
      </c>
      <c r="D27" s="9">
        <v>401238011</v>
      </c>
      <c r="E27" s="10">
        <v>40</v>
      </c>
      <c r="F27" s="8">
        <v>6.6</v>
      </c>
      <c r="G27" s="11">
        <v>1.4486174382879544</v>
      </c>
      <c r="H27" s="8">
        <v>42.5</v>
      </c>
      <c r="I27" s="8">
        <v>28.5</v>
      </c>
      <c r="J27" s="8">
        <v>33.5</v>
      </c>
      <c r="K27" s="17">
        <f t="shared" si="0"/>
        <v>1.3943569553805775</v>
      </c>
      <c r="L27" s="17">
        <f t="shared" si="1"/>
        <v>0.93503937007874016</v>
      </c>
      <c r="M27" s="17">
        <f t="shared" si="2"/>
        <v>1.0990813648293962</v>
      </c>
      <c r="N27">
        <v>5</v>
      </c>
    </row>
    <row r="28" spans="1:14" x14ac:dyDescent="0.3">
      <c r="A28" s="7" t="s">
        <v>49</v>
      </c>
      <c r="B28" s="8" t="s">
        <v>43</v>
      </c>
      <c r="C28" s="9">
        <v>401238012</v>
      </c>
      <c r="D28" s="9">
        <v>401238012</v>
      </c>
      <c r="E28" s="10">
        <v>40</v>
      </c>
      <c r="F28" s="8">
        <v>6.6</v>
      </c>
      <c r="G28" s="12">
        <v>1.4486174382879544</v>
      </c>
      <c r="H28" s="8">
        <v>42.5</v>
      </c>
      <c r="I28" s="8">
        <v>28.5</v>
      </c>
      <c r="J28" s="8">
        <v>33.5</v>
      </c>
      <c r="K28" s="17">
        <f t="shared" si="0"/>
        <v>1.3943569553805775</v>
      </c>
      <c r="L28" s="17">
        <f t="shared" si="1"/>
        <v>0.93503937007874016</v>
      </c>
      <c r="M28" s="17">
        <f t="shared" si="2"/>
        <v>1.0990813648293962</v>
      </c>
      <c r="N28">
        <v>5</v>
      </c>
    </row>
    <row r="29" spans="1:14" x14ac:dyDescent="0.3">
      <c r="A29" s="7" t="s">
        <v>50</v>
      </c>
      <c r="B29" s="8" t="s">
        <v>43</v>
      </c>
      <c r="C29" s="9">
        <v>401238022</v>
      </c>
      <c r="D29" s="9">
        <v>401238022</v>
      </c>
      <c r="E29" s="10">
        <v>40</v>
      </c>
      <c r="F29" s="8">
        <v>6.6</v>
      </c>
      <c r="G29" s="12">
        <v>1.4486174382879544</v>
      </c>
      <c r="H29" s="8">
        <v>42.5</v>
      </c>
      <c r="I29" s="8">
        <v>28.5</v>
      </c>
      <c r="J29" s="8">
        <v>33.5</v>
      </c>
      <c r="K29" s="17">
        <f t="shared" si="0"/>
        <v>1.3943569553805775</v>
      </c>
      <c r="L29" s="17">
        <f t="shared" si="1"/>
        <v>0.93503937007874016</v>
      </c>
      <c r="M29" s="17">
        <f t="shared" si="2"/>
        <v>1.0990813648293962</v>
      </c>
      <c r="N29">
        <v>5</v>
      </c>
    </row>
    <row r="30" spans="1:14" x14ac:dyDescent="0.3">
      <c r="A30" s="7" t="s">
        <v>51</v>
      </c>
      <c r="B30" s="8" t="s">
        <v>43</v>
      </c>
      <c r="C30" s="9">
        <v>401238023</v>
      </c>
      <c r="D30" s="9">
        <v>401238023</v>
      </c>
      <c r="E30" s="10">
        <v>40</v>
      </c>
      <c r="F30" s="8">
        <v>6.6</v>
      </c>
      <c r="G30" s="11">
        <v>1.4486174382879544</v>
      </c>
      <c r="H30" s="8">
        <v>42.5</v>
      </c>
      <c r="I30" s="8">
        <v>28.5</v>
      </c>
      <c r="J30" s="8">
        <v>33.5</v>
      </c>
      <c r="K30" s="17">
        <f t="shared" si="0"/>
        <v>1.3943569553805775</v>
      </c>
      <c r="L30" s="17">
        <f t="shared" si="1"/>
        <v>0.93503937007874016</v>
      </c>
      <c r="M30" s="17">
        <f t="shared" si="2"/>
        <v>1.0990813648293962</v>
      </c>
      <c r="N30">
        <v>5</v>
      </c>
    </row>
    <row r="31" spans="1:14" x14ac:dyDescent="0.3">
      <c r="A31" s="7" t="s">
        <v>52</v>
      </c>
      <c r="B31" s="8" t="s">
        <v>43</v>
      </c>
      <c r="C31" s="9">
        <v>401238013</v>
      </c>
      <c r="D31" s="9">
        <v>401238013</v>
      </c>
      <c r="E31" s="10">
        <v>40</v>
      </c>
      <c r="F31" s="8">
        <v>6.6</v>
      </c>
      <c r="G31" s="12">
        <v>1.4486174382879544</v>
      </c>
      <c r="H31" s="8">
        <v>42.5</v>
      </c>
      <c r="I31" s="8">
        <v>28.5</v>
      </c>
      <c r="J31" s="8">
        <v>33.5</v>
      </c>
      <c r="K31" s="17">
        <f t="shared" si="0"/>
        <v>1.3943569553805775</v>
      </c>
      <c r="L31" s="17">
        <f t="shared" si="1"/>
        <v>0.93503937007874016</v>
      </c>
      <c r="M31" s="17">
        <f t="shared" si="2"/>
        <v>1.0990813648293962</v>
      </c>
      <c r="N31">
        <v>5</v>
      </c>
    </row>
    <row r="32" spans="1:14" x14ac:dyDescent="0.3">
      <c r="A32" s="7" t="s">
        <v>53</v>
      </c>
      <c r="B32" s="8" t="s">
        <v>43</v>
      </c>
      <c r="C32" s="9">
        <v>401238024</v>
      </c>
      <c r="D32" s="9">
        <v>401238024</v>
      </c>
      <c r="E32" s="10">
        <v>40</v>
      </c>
      <c r="F32" s="8">
        <v>6.6</v>
      </c>
      <c r="G32" s="11">
        <v>1.4486174382879544</v>
      </c>
      <c r="H32" s="8">
        <v>42.5</v>
      </c>
      <c r="I32" s="8">
        <v>28.5</v>
      </c>
      <c r="J32" s="8">
        <v>33.5</v>
      </c>
      <c r="K32" s="17">
        <f t="shared" si="0"/>
        <v>1.3943569553805775</v>
      </c>
      <c r="L32" s="17">
        <f t="shared" si="1"/>
        <v>0.93503937007874016</v>
      </c>
      <c r="M32" s="17">
        <f t="shared" si="2"/>
        <v>1.0990813648293962</v>
      </c>
      <c r="N32">
        <v>5</v>
      </c>
    </row>
    <row r="33" spans="1:14" x14ac:dyDescent="0.3">
      <c r="A33" s="7" t="s">
        <v>54</v>
      </c>
      <c r="B33" s="8" t="s">
        <v>43</v>
      </c>
      <c r="C33" s="9">
        <v>401238001</v>
      </c>
      <c r="D33" s="9">
        <v>401238001</v>
      </c>
      <c r="E33" s="10">
        <v>5</v>
      </c>
      <c r="F33" s="8">
        <v>3.75</v>
      </c>
      <c r="G33" s="12">
        <v>1.6344039351851851</v>
      </c>
      <c r="H33" s="8">
        <v>39</v>
      </c>
      <c r="I33" s="8">
        <v>36</v>
      </c>
      <c r="J33" s="8">
        <v>33</v>
      </c>
      <c r="K33" s="17">
        <f t="shared" si="0"/>
        <v>1.2795275590551181</v>
      </c>
      <c r="L33" s="17">
        <f t="shared" si="1"/>
        <v>1.1811023622047243</v>
      </c>
      <c r="M33" s="17">
        <f t="shared" si="2"/>
        <v>1.0826771653543308</v>
      </c>
    </row>
    <row r="34" spans="1:14" x14ac:dyDescent="0.3">
      <c r="A34" s="7" t="s">
        <v>55</v>
      </c>
      <c r="B34" s="8" t="s">
        <v>43</v>
      </c>
      <c r="C34" s="9">
        <v>401238003</v>
      </c>
      <c r="D34" s="9">
        <v>401238003</v>
      </c>
      <c r="E34" s="10">
        <v>5</v>
      </c>
      <c r="F34" s="8">
        <v>3.9</v>
      </c>
      <c r="G34" s="12">
        <v>1.6344039351851851</v>
      </c>
      <c r="H34" s="8">
        <v>38.5</v>
      </c>
      <c r="I34" s="8">
        <v>35</v>
      </c>
      <c r="J34" s="8">
        <v>32</v>
      </c>
      <c r="K34" s="17">
        <f t="shared" si="0"/>
        <v>1.2631233595800524</v>
      </c>
      <c r="L34" s="17">
        <f t="shared" si="1"/>
        <v>1.1482939632545932</v>
      </c>
      <c r="M34" s="17">
        <f t="shared" si="2"/>
        <v>1.0498687664041995</v>
      </c>
    </row>
    <row r="35" spans="1:14" x14ac:dyDescent="0.3">
      <c r="A35" s="15" t="s">
        <v>56</v>
      </c>
      <c r="B35" s="8" t="s">
        <v>57</v>
      </c>
      <c r="C35" s="10">
        <v>400065197</v>
      </c>
      <c r="D35" s="9">
        <v>400065197</v>
      </c>
      <c r="E35" s="10">
        <v>36</v>
      </c>
      <c r="F35" s="8">
        <v>2.65</v>
      </c>
      <c r="G35" s="11">
        <v>0.3218125</v>
      </c>
      <c r="H35" s="8">
        <v>27.5</v>
      </c>
      <c r="I35" s="8">
        <v>28.5</v>
      </c>
      <c r="J35" s="8">
        <v>14.5</v>
      </c>
      <c r="K35" s="17">
        <f t="shared" si="0"/>
        <v>0.90223097112860895</v>
      </c>
      <c r="L35" s="17">
        <f t="shared" si="1"/>
        <v>0.93503937007874016</v>
      </c>
      <c r="M35" s="17">
        <f t="shared" si="2"/>
        <v>0.47572178477690286</v>
      </c>
      <c r="N35">
        <v>10</v>
      </c>
    </row>
    <row r="36" spans="1:14" x14ac:dyDescent="0.3">
      <c r="A36" s="15" t="s">
        <v>58</v>
      </c>
      <c r="B36" s="8" t="s">
        <v>57</v>
      </c>
      <c r="C36" s="10">
        <v>400065199</v>
      </c>
      <c r="D36" s="9">
        <v>400065199</v>
      </c>
      <c r="E36" s="10">
        <v>36</v>
      </c>
      <c r="F36" s="8">
        <v>2.66</v>
      </c>
      <c r="G36" s="11">
        <v>0.3218125</v>
      </c>
      <c r="H36" s="8">
        <v>27.5</v>
      </c>
      <c r="I36" s="8">
        <v>27.5</v>
      </c>
      <c r="J36" s="8">
        <v>15.5</v>
      </c>
      <c r="K36" s="17">
        <f t="shared" si="0"/>
        <v>0.90223097112860895</v>
      </c>
      <c r="L36" s="17">
        <f t="shared" si="1"/>
        <v>0.90223097112860895</v>
      </c>
      <c r="M36" s="17">
        <f t="shared" si="2"/>
        <v>0.50853018372703407</v>
      </c>
      <c r="N36">
        <v>10</v>
      </c>
    </row>
    <row r="37" spans="1:14" x14ac:dyDescent="0.3">
      <c r="A37" s="15" t="s">
        <v>59</v>
      </c>
      <c r="B37" s="8" t="s">
        <v>57</v>
      </c>
      <c r="C37" s="10">
        <v>400065198</v>
      </c>
      <c r="D37" s="9">
        <v>400065198</v>
      </c>
      <c r="E37" s="10">
        <v>36</v>
      </c>
      <c r="F37" s="8">
        <v>2.62</v>
      </c>
      <c r="G37" s="11">
        <v>0.3218125</v>
      </c>
      <c r="H37" s="8">
        <v>28</v>
      </c>
      <c r="I37" s="8">
        <v>27.5</v>
      </c>
      <c r="J37" s="8">
        <v>15</v>
      </c>
      <c r="K37" s="17">
        <f t="shared" si="0"/>
        <v>0.9186351706036745</v>
      </c>
      <c r="L37" s="17">
        <f t="shared" si="1"/>
        <v>0.90223097112860895</v>
      </c>
      <c r="M37" s="17">
        <f t="shared" si="2"/>
        <v>0.49212598425196852</v>
      </c>
      <c r="N37">
        <v>10</v>
      </c>
    </row>
    <row r="38" spans="1:14" x14ac:dyDescent="0.3">
      <c r="A38" s="17" t="s">
        <v>60</v>
      </c>
      <c r="B38" s="18" t="s">
        <v>57</v>
      </c>
      <c r="C38" s="8">
        <v>400065182</v>
      </c>
      <c r="D38" s="9">
        <v>400065182</v>
      </c>
      <c r="E38" s="10">
        <v>12</v>
      </c>
      <c r="F38" s="8">
        <v>3.21</v>
      </c>
      <c r="G38" s="11">
        <v>0.64933333333333343</v>
      </c>
      <c r="H38" s="8">
        <v>45</v>
      </c>
      <c r="I38" s="8">
        <v>23.5</v>
      </c>
      <c r="J38" s="8">
        <v>18</v>
      </c>
      <c r="K38" s="17">
        <f t="shared" si="0"/>
        <v>1.4763779527559056</v>
      </c>
      <c r="L38" s="17">
        <f t="shared" si="1"/>
        <v>0.77099737532808399</v>
      </c>
      <c r="M38" s="17">
        <f t="shared" si="2"/>
        <v>0.59055118110236215</v>
      </c>
      <c r="N38">
        <v>10</v>
      </c>
    </row>
    <row r="39" spans="1:14" x14ac:dyDescent="0.3">
      <c r="A39" s="7" t="s">
        <v>61</v>
      </c>
      <c r="B39" s="8" t="s">
        <v>57</v>
      </c>
      <c r="C39" s="9">
        <v>400065162</v>
      </c>
      <c r="D39" s="9">
        <v>400065162</v>
      </c>
      <c r="E39" s="10">
        <v>48</v>
      </c>
      <c r="F39" s="8">
        <v>6.28</v>
      </c>
      <c r="G39" s="12">
        <v>0.70427777777777778</v>
      </c>
      <c r="H39" s="8">
        <v>49</v>
      </c>
      <c r="I39" s="8">
        <v>27</v>
      </c>
      <c r="J39" s="8">
        <v>17.5</v>
      </c>
      <c r="K39" s="17">
        <f t="shared" si="0"/>
        <v>1.6076115485564304</v>
      </c>
      <c r="L39" s="17">
        <f t="shared" si="1"/>
        <v>0.88582677165354329</v>
      </c>
      <c r="M39" s="17">
        <f t="shared" si="2"/>
        <v>0.5741469816272966</v>
      </c>
      <c r="N39">
        <v>10</v>
      </c>
    </row>
    <row r="40" spans="1:14" x14ac:dyDescent="0.3">
      <c r="A40" s="7" t="s">
        <v>62</v>
      </c>
      <c r="B40" s="8" t="s">
        <v>57</v>
      </c>
      <c r="C40" s="9">
        <v>400065137</v>
      </c>
      <c r="D40" s="9">
        <v>400065137</v>
      </c>
      <c r="E40" s="10">
        <v>48</v>
      </c>
      <c r="F40" s="8">
        <v>6.35</v>
      </c>
      <c r="G40" s="12">
        <v>0.8565526009111134</v>
      </c>
      <c r="H40" s="8">
        <v>37.5</v>
      </c>
      <c r="I40" s="8">
        <v>29</v>
      </c>
      <c r="J40" s="8">
        <v>17.5</v>
      </c>
      <c r="K40" s="17">
        <f t="shared" si="0"/>
        <v>1.2303149606299213</v>
      </c>
      <c r="L40" s="17">
        <f t="shared" si="1"/>
        <v>0.95144356955380571</v>
      </c>
      <c r="M40" s="17">
        <f t="shared" si="2"/>
        <v>0.5741469816272966</v>
      </c>
      <c r="N40">
        <v>10</v>
      </c>
    </row>
    <row r="41" spans="1:14" x14ac:dyDescent="0.3">
      <c r="A41" s="7" t="s">
        <v>63</v>
      </c>
      <c r="B41" s="8" t="s">
        <v>57</v>
      </c>
      <c r="C41" s="9">
        <v>400065107</v>
      </c>
      <c r="D41" s="9">
        <v>400065107</v>
      </c>
      <c r="E41" s="10">
        <v>96</v>
      </c>
      <c r="F41" s="8">
        <v>7.79</v>
      </c>
      <c r="G41" s="12">
        <v>1.0922222222222222</v>
      </c>
      <c r="H41" s="8">
        <v>44.5</v>
      </c>
      <c r="I41" s="8">
        <v>27</v>
      </c>
      <c r="J41" s="8">
        <v>30.5</v>
      </c>
      <c r="K41" s="17">
        <f t="shared" si="0"/>
        <v>1.4599737532808399</v>
      </c>
      <c r="L41" s="17">
        <f t="shared" si="1"/>
        <v>0.88582677165354329</v>
      </c>
      <c r="M41" s="17">
        <f t="shared" si="2"/>
        <v>1.0006561679790027</v>
      </c>
      <c r="N41">
        <v>10</v>
      </c>
    </row>
    <row r="42" spans="1:14" x14ac:dyDescent="0.3">
      <c r="A42" s="15" t="s">
        <v>64</v>
      </c>
      <c r="B42" s="8" t="s">
        <v>57</v>
      </c>
      <c r="C42" s="10">
        <v>400065191</v>
      </c>
      <c r="D42" s="9">
        <v>400065191</v>
      </c>
      <c r="E42" s="10">
        <v>48</v>
      </c>
      <c r="F42" s="8">
        <v>12.37</v>
      </c>
      <c r="G42" s="11">
        <v>1.1351944444444444</v>
      </c>
      <c r="H42" s="8">
        <v>41.5</v>
      </c>
      <c r="I42" s="8">
        <v>37</v>
      </c>
      <c r="J42" s="8">
        <v>22.5</v>
      </c>
      <c r="K42" s="17">
        <f t="shared" si="0"/>
        <v>1.3615485564304461</v>
      </c>
      <c r="L42" s="17">
        <f t="shared" si="1"/>
        <v>1.2139107611548556</v>
      </c>
      <c r="M42" s="17">
        <f t="shared" si="2"/>
        <v>0.73818897637795278</v>
      </c>
    </row>
    <row r="43" spans="1:14" x14ac:dyDescent="0.3">
      <c r="A43" s="19" t="s">
        <v>65</v>
      </c>
      <c r="B43" s="8" t="s">
        <v>57</v>
      </c>
      <c r="C43" s="20">
        <v>400065176</v>
      </c>
      <c r="D43" s="9">
        <v>400065176</v>
      </c>
      <c r="E43" s="10">
        <v>48</v>
      </c>
      <c r="F43" s="8">
        <v>3.3</v>
      </c>
      <c r="G43" s="11">
        <v>0.37066666666666664</v>
      </c>
      <c r="H43" s="8">
        <v>26</v>
      </c>
      <c r="I43" s="8">
        <v>18</v>
      </c>
      <c r="J43" s="8">
        <v>25.5</v>
      </c>
      <c r="K43" s="17">
        <f t="shared" si="0"/>
        <v>0.85301837270341208</v>
      </c>
      <c r="L43" s="17">
        <f t="shared" si="1"/>
        <v>0.59055118110236215</v>
      </c>
      <c r="M43" s="17">
        <f t="shared" si="2"/>
        <v>0.83661417322834641</v>
      </c>
    </row>
    <row r="44" spans="1:14" x14ac:dyDescent="0.3">
      <c r="A44" s="21" t="s">
        <v>66</v>
      </c>
      <c r="B44" s="8" t="s">
        <v>57</v>
      </c>
      <c r="C44" s="9">
        <v>400065164</v>
      </c>
      <c r="D44" s="9">
        <v>400065164</v>
      </c>
      <c r="E44" s="10">
        <v>48</v>
      </c>
      <c r="F44" s="8">
        <v>7.5</v>
      </c>
      <c r="G44" s="12">
        <v>0.5141944444444444</v>
      </c>
      <c r="H44" s="8">
        <v>35.5</v>
      </c>
      <c r="I44" s="8">
        <v>27</v>
      </c>
      <c r="J44" s="8">
        <v>17</v>
      </c>
      <c r="K44" s="17">
        <f t="shared" si="0"/>
        <v>1.1646981627296589</v>
      </c>
      <c r="L44" s="17">
        <f t="shared" si="1"/>
        <v>0.88582677165354329</v>
      </c>
      <c r="M44" s="17">
        <f t="shared" si="2"/>
        <v>0.55774278215223094</v>
      </c>
    </row>
    <row r="45" spans="1:14" x14ac:dyDescent="0.3">
      <c r="A45" s="15" t="s">
        <v>67</v>
      </c>
      <c r="B45" s="8" t="s">
        <v>57</v>
      </c>
      <c r="C45" s="10">
        <v>400065265</v>
      </c>
      <c r="D45" s="9">
        <v>400065265</v>
      </c>
      <c r="E45" s="10">
        <v>36</v>
      </c>
      <c r="F45" s="8">
        <v>4.2</v>
      </c>
      <c r="G45" s="11">
        <v>0.72889583333333341</v>
      </c>
      <c r="H45" s="8">
        <v>41</v>
      </c>
      <c r="I45" s="8">
        <v>18</v>
      </c>
      <c r="J45" s="8">
        <v>21.5</v>
      </c>
      <c r="K45" s="17">
        <f t="shared" si="0"/>
        <v>1.3451443569553805</v>
      </c>
      <c r="L45" s="17">
        <f t="shared" si="1"/>
        <v>0.59055118110236215</v>
      </c>
      <c r="M45" s="17">
        <f t="shared" si="2"/>
        <v>0.70538057742782156</v>
      </c>
    </row>
    <row r="46" spans="1:14" x14ac:dyDescent="0.3">
      <c r="A46" s="21" t="s">
        <v>68</v>
      </c>
      <c r="B46" s="8" t="s">
        <v>57</v>
      </c>
      <c r="C46" s="9">
        <v>400065165</v>
      </c>
      <c r="D46" s="9">
        <v>400065165</v>
      </c>
      <c r="E46" s="10">
        <v>48</v>
      </c>
      <c r="F46" s="8">
        <v>5.86</v>
      </c>
      <c r="G46" s="12">
        <v>0.67592272104929152</v>
      </c>
      <c r="H46" s="8">
        <v>46.5</v>
      </c>
      <c r="I46" s="8">
        <v>31.5</v>
      </c>
      <c r="J46" s="8">
        <v>14.9</v>
      </c>
      <c r="K46" s="17">
        <f t="shared" si="0"/>
        <v>1.5255905511811023</v>
      </c>
      <c r="L46" s="17">
        <f t="shared" si="1"/>
        <v>1.0334645669291338</v>
      </c>
      <c r="M46" s="17">
        <f t="shared" si="2"/>
        <v>0.48884514435695536</v>
      </c>
    </row>
    <row r="47" spans="1:14" x14ac:dyDescent="0.3">
      <c r="A47" s="15" t="s">
        <v>69</v>
      </c>
      <c r="B47" s="8" t="s">
        <v>57</v>
      </c>
      <c r="C47" s="10">
        <v>400065193</v>
      </c>
      <c r="D47" s="9">
        <v>400065193</v>
      </c>
      <c r="E47" s="10">
        <v>48</v>
      </c>
      <c r="F47" s="8">
        <v>12.41</v>
      </c>
      <c r="G47" s="11">
        <v>1.1351944444444444</v>
      </c>
      <c r="H47" s="8">
        <v>41.5</v>
      </c>
      <c r="I47" s="8">
        <v>37</v>
      </c>
      <c r="J47" s="8">
        <v>22.5</v>
      </c>
      <c r="K47" s="17">
        <f t="shared" si="0"/>
        <v>1.3615485564304461</v>
      </c>
      <c r="L47" s="17">
        <f t="shared" si="1"/>
        <v>1.2139107611548556</v>
      </c>
      <c r="M47" s="17">
        <f t="shared" si="2"/>
        <v>0.73818897637795278</v>
      </c>
    </row>
    <row r="48" spans="1:14" x14ac:dyDescent="0.3">
      <c r="A48" s="7" t="s">
        <v>70</v>
      </c>
      <c r="B48" s="8" t="s">
        <v>57</v>
      </c>
      <c r="C48" s="9">
        <v>400065133</v>
      </c>
      <c r="D48" s="9">
        <v>400065133</v>
      </c>
      <c r="E48" s="10">
        <v>60</v>
      </c>
      <c r="F48" s="8">
        <v>11.4</v>
      </c>
      <c r="G48" s="12">
        <v>1.3730268036868312</v>
      </c>
      <c r="H48" s="8">
        <v>44</v>
      </c>
      <c r="I48" s="8">
        <v>36</v>
      </c>
      <c r="J48" s="8">
        <v>24.5</v>
      </c>
      <c r="K48" s="17">
        <f t="shared" si="0"/>
        <v>1.4435695538057742</v>
      </c>
      <c r="L48" s="17">
        <f t="shared" si="1"/>
        <v>1.1811023622047243</v>
      </c>
      <c r="M48" s="17">
        <f t="shared" si="2"/>
        <v>0.8038057742782152</v>
      </c>
    </row>
    <row r="49" spans="1:13" x14ac:dyDescent="0.3">
      <c r="A49" s="15" t="s">
        <v>71</v>
      </c>
      <c r="B49" s="8" t="s">
        <v>57</v>
      </c>
      <c r="C49" s="10">
        <v>400065288</v>
      </c>
      <c r="D49" s="9">
        <v>400065288</v>
      </c>
      <c r="E49" s="10">
        <v>144</v>
      </c>
      <c r="F49" s="8">
        <v>18.399999999999999</v>
      </c>
      <c r="G49" s="11">
        <v>2.0080833333333334</v>
      </c>
      <c r="H49" s="8">
        <v>55</v>
      </c>
      <c r="I49" s="8">
        <v>41</v>
      </c>
      <c r="J49" s="8">
        <v>26</v>
      </c>
      <c r="K49" s="17">
        <f t="shared" si="0"/>
        <v>1.8044619422572179</v>
      </c>
      <c r="L49" s="17">
        <f t="shared" si="1"/>
        <v>1.3451443569553805</v>
      </c>
      <c r="M49" s="17">
        <f t="shared" si="2"/>
        <v>0.85301837270341208</v>
      </c>
    </row>
    <row r="50" spans="1:13" x14ac:dyDescent="0.3">
      <c r="A50" s="21" t="s">
        <v>72</v>
      </c>
      <c r="B50" s="8" t="s">
        <v>57</v>
      </c>
      <c r="C50" s="9">
        <v>400065178</v>
      </c>
      <c r="D50" s="9" t="s">
        <v>73</v>
      </c>
      <c r="E50" s="10">
        <v>24</v>
      </c>
      <c r="F50" s="8">
        <v>2.85</v>
      </c>
      <c r="G50" s="11">
        <v>0.32495833333333335</v>
      </c>
      <c r="H50" s="8">
        <v>28.5</v>
      </c>
      <c r="I50" s="8">
        <v>28.5</v>
      </c>
      <c r="J50" s="8">
        <v>13.5</v>
      </c>
      <c r="K50" s="17">
        <f t="shared" si="0"/>
        <v>0.93503937007874016</v>
      </c>
      <c r="L50" s="17">
        <f t="shared" si="1"/>
        <v>0.93503937007874016</v>
      </c>
      <c r="M50" s="17">
        <f t="shared" si="2"/>
        <v>0.44291338582677164</v>
      </c>
    </row>
    <row r="51" spans="1:13" x14ac:dyDescent="0.3">
      <c r="A51" s="7" t="s">
        <v>74</v>
      </c>
      <c r="B51" s="8" t="s">
        <v>57</v>
      </c>
      <c r="C51" s="9">
        <v>400065124</v>
      </c>
      <c r="D51" s="9">
        <v>400065124</v>
      </c>
      <c r="E51" s="10">
        <v>36</v>
      </c>
      <c r="F51" s="8">
        <v>2.7</v>
      </c>
      <c r="G51" s="11">
        <v>0.40862379489352685</v>
      </c>
      <c r="H51" s="8">
        <v>27.5</v>
      </c>
      <c r="I51" s="8">
        <v>28</v>
      </c>
      <c r="J51" s="8">
        <v>14.5</v>
      </c>
      <c r="K51" s="17">
        <f t="shared" si="0"/>
        <v>0.90223097112860895</v>
      </c>
      <c r="L51" s="17">
        <f t="shared" si="1"/>
        <v>0.9186351706036745</v>
      </c>
      <c r="M51" s="17">
        <f t="shared" si="2"/>
        <v>0.47572178477690286</v>
      </c>
    </row>
    <row r="52" spans="1:13" x14ac:dyDescent="0.3">
      <c r="A52" s="7" t="s">
        <v>75</v>
      </c>
      <c r="B52" s="8" t="s">
        <v>76</v>
      </c>
      <c r="C52" s="9">
        <v>401179278</v>
      </c>
      <c r="D52" s="9">
        <v>401179278</v>
      </c>
      <c r="E52" s="10">
        <v>12</v>
      </c>
      <c r="F52" s="8">
        <v>14.6</v>
      </c>
      <c r="G52" s="12">
        <v>1.3142017162835045</v>
      </c>
      <c r="H52" s="8">
        <v>42.7</v>
      </c>
      <c r="I52" s="8">
        <v>29.4</v>
      </c>
      <c r="J52" s="8">
        <v>30</v>
      </c>
      <c r="K52" s="17">
        <f t="shared" si="0"/>
        <v>1.4009186351706038</v>
      </c>
      <c r="L52" s="17">
        <f t="shared" si="1"/>
        <v>0.96456692913385822</v>
      </c>
      <c r="M52" s="17">
        <f t="shared" si="2"/>
        <v>0.98425196850393704</v>
      </c>
    </row>
    <row r="53" spans="1:13" x14ac:dyDescent="0.3">
      <c r="A53" s="13" t="s">
        <v>77</v>
      </c>
      <c r="B53" s="8" t="s">
        <v>76</v>
      </c>
      <c r="C53" s="10">
        <v>401179519</v>
      </c>
      <c r="D53" s="9">
        <v>401179519</v>
      </c>
      <c r="E53" s="10">
        <v>8</v>
      </c>
      <c r="F53" s="8">
        <v>8.3000000000000007</v>
      </c>
      <c r="G53" s="11">
        <v>2.3082546296296296</v>
      </c>
      <c r="H53" s="8">
        <v>45</v>
      </c>
      <c r="I53" s="8">
        <v>36</v>
      </c>
      <c r="J53" s="8">
        <v>42</v>
      </c>
      <c r="K53" s="17">
        <f t="shared" si="0"/>
        <v>1.4763779527559056</v>
      </c>
      <c r="L53" s="17">
        <f t="shared" si="1"/>
        <v>1.1811023622047243</v>
      </c>
      <c r="M53" s="17">
        <f t="shared" si="2"/>
        <v>1.3779527559055118</v>
      </c>
    </row>
    <row r="54" spans="1:13" x14ac:dyDescent="0.3">
      <c r="A54" s="7" t="s">
        <v>78</v>
      </c>
      <c r="B54" s="8" t="s">
        <v>76</v>
      </c>
      <c r="C54" s="9">
        <v>401179256</v>
      </c>
      <c r="D54" s="9">
        <v>401179256</v>
      </c>
      <c r="E54" s="10">
        <v>36</v>
      </c>
      <c r="F54" s="8">
        <v>4.2</v>
      </c>
      <c r="G54" s="12">
        <v>2.3872232227990251</v>
      </c>
      <c r="H54" s="8">
        <v>51</v>
      </c>
      <c r="I54" s="8">
        <v>47</v>
      </c>
      <c r="J54" s="8">
        <v>33.5</v>
      </c>
      <c r="K54" s="17">
        <f t="shared" si="0"/>
        <v>1.6732283464566928</v>
      </c>
      <c r="L54" s="17">
        <f t="shared" si="1"/>
        <v>1.541994750656168</v>
      </c>
      <c r="M54" s="17">
        <f t="shared" si="2"/>
        <v>1.0990813648293962</v>
      </c>
    </row>
    <row r="55" spans="1:13" x14ac:dyDescent="0.3">
      <c r="A55" s="7" t="s">
        <v>79</v>
      </c>
      <c r="B55" s="8" t="s">
        <v>76</v>
      </c>
      <c r="C55" s="9">
        <v>401179266</v>
      </c>
      <c r="D55" s="9">
        <v>401179266</v>
      </c>
      <c r="E55" s="10">
        <v>18</v>
      </c>
      <c r="F55" s="8">
        <v>6.9</v>
      </c>
      <c r="G55" s="12">
        <v>3.3337416569551861</v>
      </c>
      <c r="H55" s="8">
        <v>62</v>
      </c>
      <c r="I55" s="8">
        <v>58.5</v>
      </c>
      <c r="J55" s="8">
        <v>37.5</v>
      </c>
      <c r="K55" s="17">
        <f t="shared" si="0"/>
        <v>2.0341207349081363</v>
      </c>
      <c r="L55" s="17">
        <f t="shared" si="1"/>
        <v>1.9192913385826771</v>
      </c>
      <c r="M55" s="17">
        <f t="shared" si="2"/>
        <v>1.2303149606299213</v>
      </c>
    </row>
    <row r="56" spans="1:13" x14ac:dyDescent="0.3">
      <c r="A56" s="7" t="s">
        <v>80</v>
      </c>
      <c r="B56" s="8" t="s">
        <v>76</v>
      </c>
      <c r="C56" s="9">
        <v>401179247</v>
      </c>
      <c r="D56" s="9" t="s">
        <v>81</v>
      </c>
      <c r="E56" s="10">
        <v>60</v>
      </c>
      <c r="F56" s="8">
        <v>11.67</v>
      </c>
      <c r="G56" s="12">
        <v>1.4225950842250239</v>
      </c>
      <c r="H56" s="8">
        <v>44.5</v>
      </c>
      <c r="I56" s="8">
        <v>37</v>
      </c>
      <c r="J56" s="8">
        <v>24</v>
      </c>
      <c r="K56" s="17">
        <f t="shared" si="0"/>
        <v>1.4599737532808399</v>
      </c>
      <c r="L56" s="17">
        <f t="shared" si="1"/>
        <v>1.2139107611548556</v>
      </c>
      <c r="M56" s="17">
        <f t="shared" si="2"/>
        <v>0.78740157480314954</v>
      </c>
    </row>
    <row r="57" spans="1:13" x14ac:dyDescent="0.3">
      <c r="A57" s="7" t="s">
        <v>82</v>
      </c>
      <c r="B57" s="8" t="s">
        <v>76</v>
      </c>
      <c r="C57" s="9">
        <v>401179260</v>
      </c>
      <c r="D57" s="9">
        <v>401179260</v>
      </c>
      <c r="E57" s="10">
        <v>24</v>
      </c>
      <c r="F57" s="8">
        <v>12.2</v>
      </c>
      <c r="G57" s="11">
        <v>1.353003496133065</v>
      </c>
      <c r="H57" s="8">
        <v>40</v>
      </c>
      <c r="I57" s="8">
        <v>32.5</v>
      </c>
      <c r="J57" s="8">
        <v>24.5</v>
      </c>
      <c r="K57" s="17">
        <f t="shared" si="0"/>
        <v>1.3123359580052494</v>
      </c>
      <c r="L57" s="17">
        <f t="shared" si="1"/>
        <v>1.0662729658792651</v>
      </c>
      <c r="M57" s="17">
        <f t="shared" si="2"/>
        <v>0.8038057742782152</v>
      </c>
    </row>
    <row r="58" spans="1:13" x14ac:dyDescent="0.3">
      <c r="A58" s="7" t="s">
        <v>83</v>
      </c>
      <c r="B58" s="8" t="s">
        <v>76</v>
      </c>
      <c r="C58" s="9">
        <v>401179168</v>
      </c>
      <c r="D58" s="9" t="s">
        <v>84</v>
      </c>
      <c r="E58" s="10">
        <v>1152</v>
      </c>
      <c r="F58" s="8">
        <v>14.95</v>
      </c>
      <c r="G58" s="11">
        <v>3.8788360348907016</v>
      </c>
      <c r="H58" s="8">
        <v>53.5</v>
      </c>
      <c r="I58" s="8">
        <v>35</v>
      </c>
      <c r="J58" s="8">
        <v>59.5</v>
      </c>
      <c r="K58" s="17">
        <f t="shared" si="0"/>
        <v>1.7552493438320209</v>
      </c>
      <c r="L58" s="17">
        <f t="shared" si="1"/>
        <v>1.1482939632545932</v>
      </c>
      <c r="M58" s="17">
        <f t="shared" si="2"/>
        <v>1.9520997375328084</v>
      </c>
    </row>
    <row r="59" spans="1:13" x14ac:dyDescent="0.3">
      <c r="A59" s="7" t="s">
        <v>85</v>
      </c>
      <c r="B59" s="8" t="s">
        <v>76</v>
      </c>
      <c r="C59" s="9">
        <v>401179171</v>
      </c>
      <c r="D59" s="9" t="s">
        <v>86</v>
      </c>
      <c r="E59" s="10">
        <v>32</v>
      </c>
      <c r="F59" s="8">
        <v>6.6</v>
      </c>
      <c r="G59" s="11">
        <v>2.4584259259259258</v>
      </c>
      <c r="H59" s="8">
        <v>59.5</v>
      </c>
      <c r="I59" s="8">
        <v>33</v>
      </c>
      <c r="J59" s="8">
        <v>36.5</v>
      </c>
      <c r="K59" s="17">
        <f t="shared" si="0"/>
        <v>1.9520997375328084</v>
      </c>
      <c r="L59" s="17">
        <f t="shared" si="1"/>
        <v>1.0826771653543308</v>
      </c>
      <c r="M59" s="17">
        <f t="shared" si="2"/>
        <v>1.19750656167979</v>
      </c>
    </row>
    <row r="60" spans="1:13" x14ac:dyDescent="0.3">
      <c r="A60" s="21" t="s">
        <v>87</v>
      </c>
      <c r="B60" s="8" t="s">
        <v>76</v>
      </c>
      <c r="C60" s="9">
        <v>401179173</v>
      </c>
      <c r="D60" s="9">
        <v>401179173</v>
      </c>
      <c r="E60" s="10">
        <v>32</v>
      </c>
      <c r="F60" s="8">
        <v>7.17</v>
      </c>
      <c r="G60" s="11">
        <v>2.4584259259259258</v>
      </c>
      <c r="H60" s="8">
        <v>62</v>
      </c>
      <c r="I60" s="8">
        <v>34.5</v>
      </c>
      <c r="J60" s="8">
        <v>36.5</v>
      </c>
      <c r="K60" s="17">
        <f t="shared" si="0"/>
        <v>2.0341207349081363</v>
      </c>
      <c r="L60" s="17">
        <f t="shared" si="1"/>
        <v>1.1318897637795275</v>
      </c>
      <c r="M60" s="17">
        <f t="shared" si="2"/>
        <v>1.19750656167979</v>
      </c>
    </row>
    <row r="61" spans="1:13" x14ac:dyDescent="0.3">
      <c r="A61" s="7" t="s">
        <v>88</v>
      </c>
      <c r="B61" s="8" t="s">
        <v>76</v>
      </c>
      <c r="C61" s="9">
        <v>401179234</v>
      </c>
      <c r="D61" s="9">
        <v>401179234</v>
      </c>
      <c r="E61" s="10">
        <v>32</v>
      </c>
      <c r="F61" s="8">
        <v>6.15</v>
      </c>
      <c r="G61" s="11">
        <v>2.4584259259259258</v>
      </c>
      <c r="H61" s="8">
        <v>60</v>
      </c>
      <c r="I61" s="8">
        <v>33.5</v>
      </c>
      <c r="J61" s="8">
        <v>36</v>
      </c>
      <c r="K61" s="17">
        <f t="shared" si="0"/>
        <v>1.9685039370078741</v>
      </c>
      <c r="L61" s="17">
        <f t="shared" si="1"/>
        <v>1.0990813648293962</v>
      </c>
      <c r="M61" s="17">
        <f t="shared" si="2"/>
        <v>1.1811023622047243</v>
      </c>
    </row>
    <row r="62" spans="1:13" x14ac:dyDescent="0.3">
      <c r="A62" s="7" t="s">
        <v>89</v>
      </c>
      <c r="B62" s="8" t="s">
        <v>76</v>
      </c>
      <c r="C62" s="9">
        <v>401179245</v>
      </c>
      <c r="D62" s="9">
        <v>401179245</v>
      </c>
      <c r="E62" s="10">
        <v>128</v>
      </c>
      <c r="F62" s="8">
        <v>10.65</v>
      </c>
      <c r="G62" s="11">
        <v>2.6570611293569235</v>
      </c>
      <c r="H62" s="8">
        <v>47.5</v>
      </c>
      <c r="I62" s="8">
        <v>47.5</v>
      </c>
      <c r="J62" s="8">
        <v>33</v>
      </c>
      <c r="K62" s="17">
        <f t="shared" si="0"/>
        <v>1.5583989501312336</v>
      </c>
      <c r="L62" s="17">
        <f t="shared" si="1"/>
        <v>1.5583989501312336</v>
      </c>
      <c r="M62" s="17">
        <f t="shared" si="2"/>
        <v>1.0826771653543308</v>
      </c>
    </row>
    <row r="63" spans="1:13" x14ac:dyDescent="0.3">
      <c r="A63" s="7" t="s">
        <v>90</v>
      </c>
      <c r="B63" s="8" t="s">
        <v>76</v>
      </c>
      <c r="C63" s="9">
        <v>401179246</v>
      </c>
      <c r="D63" s="9">
        <v>401179246</v>
      </c>
      <c r="E63" s="10">
        <v>128</v>
      </c>
      <c r="F63" s="8">
        <v>10.4</v>
      </c>
      <c r="G63" s="11">
        <v>2.6570611293569235</v>
      </c>
      <c r="H63" s="8">
        <v>47.5</v>
      </c>
      <c r="I63" s="8">
        <v>47.5</v>
      </c>
      <c r="J63" s="8">
        <v>33</v>
      </c>
      <c r="K63" s="17">
        <f t="shared" si="0"/>
        <v>1.5583989501312336</v>
      </c>
      <c r="L63" s="17">
        <f t="shared" si="1"/>
        <v>1.5583989501312336</v>
      </c>
      <c r="M63" s="17">
        <f t="shared" si="2"/>
        <v>1.0826771653543308</v>
      </c>
    </row>
    <row r="64" spans="1:13" x14ac:dyDescent="0.3">
      <c r="A64" s="15" t="s">
        <v>91</v>
      </c>
      <c r="B64" s="8" t="s">
        <v>76</v>
      </c>
      <c r="C64" s="10">
        <v>401179536</v>
      </c>
      <c r="D64" s="9">
        <v>401179536</v>
      </c>
      <c r="E64" s="10">
        <v>48</v>
      </c>
      <c r="F64" s="8">
        <v>13.7</v>
      </c>
      <c r="G64" s="11">
        <v>4.4615277777777784</v>
      </c>
      <c r="H64" s="8">
        <v>62.5</v>
      </c>
      <c r="I64" s="8">
        <v>51</v>
      </c>
      <c r="J64" s="8">
        <v>42.5</v>
      </c>
      <c r="K64" s="17">
        <f t="shared" si="0"/>
        <v>2.0505249343832022</v>
      </c>
      <c r="L64" s="17">
        <f t="shared" si="1"/>
        <v>1.6732283464566928</v>
      </c>
      <c r="M64" s="17">
        <f t="shared" si="2"/>
        <v>1.3943569553805775</v>
      </c>
    </row>
    <row r="65" spans="1:14" x14ac:dyDescent="0.3">
      <c r="A65" s="7" t="s">
        <v>92</v>
      </c>
      <c r="B65" s="8" t="s">
        <v>76</v>
      </c>
      <c r="C65" s="9">
        <v>401179380</v>
      </c>
      <c r="D65" s="9">
        <v>401179380</v>
      </c>
      <c r="E65" s="10">
        <v>48</v>
      </c>
      <c r="F65" s="8">
        <v>10.3</v>
      </c>
      <c r="G65" s="12">
        <v>3.3586184977222162</v>
      </c>
      <c r="H65" s="8">
        <v>65.5</v>
      </c>
      <c r="I65" s="8">
        <v>33</v>
      </c>
      <c r="J65" s="8">
        <v>44.5</v>
      </c>
      <c r="K65" s="17">
        <f t="shared" si="0"/>
        <v>2.1489501312335957</v>
      </c>
      <c r="L65" s="17">
        <f t="shared" si="1"/>
        <v>1.0826771653543308</v>
      </c>
      <c r="M65" s="17">
        <f t="shared" si="2"/>
        <v>1.4599737532808399</v>
      </c>
    </row>
    <row r="66" spans="1:14" x14ac:dyDescent="0.3">
      <c r="A66" s="7" t="s">
        <v>93</v>
      </c>
      <c r="B66" s="8" t="s">
        <v>76</v>
      </c>
      <c r="C66" s="9">
        <v>401179385</v>
      </c>
      <c r="D66" s="9">
        <v>401179385</v>
      </c>
      <c r="E66" s="10">
        <v>10</v>
      </c>
      <c r="F66" s="8">
        <v>7.9</v>
      </c>
      <c r="G66" s="11">
        <v>1.9442842910182756</v>
      </c>
      <c r="H66" s="8">
        <v>77</v>
      </c>
      <c r="I66" s="8">
        <v>42</v>
      </c>
      <c r="J66" s="8">
        <v>26</v>
      </c>
      <c r="K66" s="17">
        <f t="shared" si="0"/>
        <v>2.5262467191601048</v>
      </c>
      <c r="L66" s="17">
        <f t="shared" si="1"/>
        <v>1.3779527559055118</v>
      </c>
      <c r="M66" s="17">
        <f t="shared" si="2"/>
        <v>0.85301837270341208</v>
      </c>
      <c r="N66">
        <v>5</v>
      </c>
    </row>
    <row r="67" spans="1:14" x14ac:dyDescent="0.3">
      <c r="A67" s="7" t="s">
        <v>94</v>
      </c>
      <c r="B67" s="8" t="s">
        <v>76</v>
      </c>
      <c r="C67" s="9">
        <v>401179392</v>
      </c>
      <c r="D67" s="9">
        <v>401179392</v>
      </c>
      <c r="E67" s="10">
        <v>64</v>
      </c>
      <c r="F67" s="8">
        <v>7.1</v>
      </c>
      <c r="G67" s="11">
        <v>2.8537075884300496</v>
      </c>
      <c r="H67" s="8">
        <v>58</v>
      </c>
      <c r="I67" s="8">
        <v>42</v>
      </c>
      <c r="J67" s="8">
        <v>41</v>
      </c>
      <c r="K67" s="17">
        <f t="shared" ref="K67:K130" si="3">H67/30.48</f>
        <v>1.9028871391076114</v>
      </c>
      <c r="L67" s="17">
        <f t="shared" ref="L67:L130" si="4">I67/30.48</f>
        <v>1.3779527559055118</v>
      </c>
      <c r="M67" s="17">
        <f t="shared" ref="M67:M130" si="5">J67/30.48</f>
        <v>1.3451443569553805</v>
      </c>
      <c r="N67">
        <v>5</v>
      </c>
    </row>
    <row r="68" spans="1:14" x14ac:dyDescent="0.3">
      <c r="A68" s="13" t="s">
        <v>95</v>
      </c>
      <c r="B68" s="8" t="s">
        <v>76</v>
      </c>
      <c r="C68" s="10">
        <v>401179444</v>
      </c>
      <c r="D68" s="9">
        <v>401179444</v>
      </c>
      <c r="E68" s="10">
        <v>64</v>
      </c>
      <c r="F68" s="8">
        <v>7.05</v>
      </c>
      <c r="G68" s="11">
        <v>3.0343035985450437</v>
      </c>
      <c r="H68" s="8">
        <v>56.5</v>
      </c>
      <c r="I68" s="8">
        <v>38.5</v>
      </c>
      <c r="J68" s="8">
        <v>39.5</v>
      </c>
      <c r="K68" s="17">
        <f t="shared" si="3"/>
        <v>1.8536745406824147</v>
      </c>
      <c r="L68" s="17">
        <f t="shared" si="4"/>
        <v>1.2631233595800524</v>
      </c>
      <c r="M68" s="17">
        <f t="shared" si="5"/>
        <v>1.2959317585301837</v>
      </c>
      <c r="N68">
        <v>5</v>
      </c>
    </row>
    <row r="69" spans="1:14" x14ac:dyDescent="0.3">
      <c r="A69" s="13" t="s">
        <v>96</v>
      </c>
      <c r="B69" s="8" t="s">
        <v>76</v>
      </c>
      <c r="C69" s="10">
        <v>401179443</v>
      </c>
      <c r="D69" s="9">
        <v>401179443</v>
      </c>
      <c r="E69" s="10">
        <v>64</v>
      </c>
      <c r="F69" s="8">
        <v>6.3</v>
      </c>
      <c r="G69" s="11">
        <v>2.9554905180633542</v>
      </c>
      <c r="H69" s="8">
        <v>56.5</v>
      </c>
      <c r="I69" s="8">
        <v>37.5</v>
      </c>
      <c r="J69" s="8">
        <v>39.5</v>
      </c>
      <c r="K69" s="17">
        <f t="shared" si="3"/>
        <v>1.8536745406824147</v>
      </c>
      <c r="L69" s="17">
        <f t="shared" si="4"/>
        <v>1.2303149606299213</v>
      </c>
      <c r="M69" s="17">
        <f t="shared" si="5"/>
        <v>1.2959317585301837</v>
      </c>
      <c r="N69">
        <v>5</v>
      </c>
    </row>
    <row r="70" spans="1:14" x14ac:dyDescent="0.3">
      <c r="A70" s="13" t="s">
        <v>97</v>
      </c>
      <c r="B70" s="8" t="s">
        <v>76</v>
      </c>
      <c r="C70" s="10">
        <v>401179442</v>
      </c>
      <c r="D70" s="9">
        <v>401179442</v>
      </c>
      <c r="E70" s="10">
        <v>64</v>
      </c>
      <c r="F70" s="8">
        <v>5.8</v>
      </c>
      <c r="G70" s="11">
        <v>2.8422590669915597</v>
      </c>
      <c r="H70" s="8">
        <v>56.5</v>
      </c>
      <c r="I70" s="8">
        <v>37</v>
      </c>
      <c r="J70" s="8">
        <v>38.5</v>
      </c>
      <c r="K70" s="17">
        <f t="shared" si="3"/>
        <v>1.8536745406824147</v>
      </c>
      <c r="L70" s="17">
        <f t="shared" si="4"/>
        <v>1.2139107611548556</v>
      </c>
      <c r="M70" s="17">
        <f t="shared" si="5"/>
        <v>1.2631233595800524</v>
      </c>
      <c r="N70">
        <v>5</v>
      </c>
    </row>
    <row r="71" spans="1:14" x14ac:dyDescent="0.3">
      <c r="A71" s="13" t="s">
        <v>98</v>
      </c>
      <c r="B71" s="8" t="s">
        <v>76</v>
      </c>
      <c r="C71" s="10">
        <v>401179445</v>
      </c>
      <c r="D71" s="9">
        <v>401179445</v>
      </c>
      <c r="E71" s="10">
        <v>64</v>
      </c>
      <c r="F71" s="8">
        <v>7.8</v>
      </c>
      <c r="G71" s="11">
        <v>3.2233154995232547</v>
      </c>
      <c r="H71" s="8">
        <v>58.5</v>
      </c>
      <c r="I71" s="8">
        <v>39.5</v>
      </c>
      <c r="J71" s="8">
        <v>39.5</v>
      </c>
      <c r="K71" s="17">
        <f t="shared" si="3"/>
        <v>1.9192913385826771</v>
      </c>
      <c r="L71" s="17">
        <f t="shared" si="4"/>
        <v>1.2959317585301837</v>
      </c>
      <c r="M71" s="17">
        <f t="shared" si="5"/>
        <v>1.2959317585301837</v>
      </c>
      <c r="N71">
        <v>5</v>
      </c>
    </row>
    <row r="72" spans="1:14" x14ac:dyDescent="0.3">
      <c r="A72" s="13" t="s">
        <v>99</v>
      </c>
      <c r="B72" s="8" t="s">
        <v>76</v>
      </c>
      <c r="C72" s="10">
        <v>401179375</v>
      </c>
      <c r="D72" s="9">
        <v>401179375</v>
      </c>
      <c r="E72" s="10">
        <v>24</v>
      </c>
      <c r="F72" s="8">
        <v>5.35</v>
      </c>
      <c r="G72" s="11">
        <v>2.0255138888888888</v>
      </c>
      <c r="H72" s="8">
        <v>58</v>
      </c>
      <c r="I72" s="8">
        <v>36</v>
      </c>
      <c r="J72" s="8">
        <v>29.5</v>
      </c>
      <c r="K72" s="17">
        <f t="shared" si="3"/>
        <v>1.9028871391076114</v>
      </c>
      <c r="L72" s="17">
        <f t="shared" si="4"/>
        <v>1.1811023622047243</v>
      </c>
      <c r="M72" s="17">
        <f t="shared" si="5"/>
        <v>0.96784776902887137</v>
      </c>
      <c r="N72">
        <v>5</v>
      </c>
    </row>
    <row r="73" spans="1:14" x14ac:dyDescent="0.3">
      <c r="A73" s="13" t="s">
        <v>100</v>
      </c>
      <c r="B73" s="8" t="s">
        <v>76</v>
      </c>
      <c r="C73" s="10">
        <v>401179447</v>
      </c>
      <c r="D73" s="9">
        <v>401179447</v>
      </c>
      <c r="E73" s="10">
        <v>24</v>
      </c>
      <c r="F73" s="8">
        <v>5.5</v>
      </c>
      <c r="G73" s="11">
        <v>1.9553625030900164</v>
      </c>
      <c r="H73" s="8">
        <v>56.5</v>
      </c>
      <c r="I73" s="8">
        <v>35</v>
      </c>
      <c r="J73" s="8">
        <v>28</v>
      </c>
      <c r="K73" s="17">
        <f t="shared" si="3"/>
        <v>1.8536745406824147</v>
      </c>
      <c r="L73" s="17">
        <f t="shared" si="4"/>
        <v>1.1482939632545932</v>
      </c>
      <c r="M73" s="17">
        <f t="shared" si="5"/>
        <v>0.9186351706036745</v>
      </c>
      <c r="N73">
        <v>5</v>
      </c>
    </row>
    <row r="74" spans="1:14" x14ac:dyDescent="0.3">
      <c r="A74" s="13" t="s">
        <v>101</v>
      </c>
      <c r="B74" s="8" t="s">
        <v>76</v>
      </c>
      <c r="C74" s="10">
        <v>401179446</v>
      </c>
      <c r="D74" s="9">
        <v>401179446</v>
      </c>
      <c r="E74" s="10">
        <v>24</v>
      </c>
      <c r="F74" s="8">
        <v>5.8</v>
      </c>
      <c r="G74" s="11">
        <v>3.1804216548363176</v>
      </c>
      <c r="H74" s="8">
        <v>57</v>
      </c>
      <c r="I74" s="8">
        <v>39.5</v>
      </c>
      <c r="J74" s="8">
        <v>40</v>
      </c>
      <c r="K74" s="17">
        <f t="shared" si="3"/>
        <v>1.8700787401574803</v>
      </c>
      <c r="L74" s="17">
        <f t="shared" si="4"/>
        <v>1.2959317585301837</v>
      </c>
      <c r="M74" s="17">
        <f t="shared" si="5"/>
        <v>1.3123359580052494</v>
      </c>
      <c r="N74">
        <v>5</v>
      </c>
    </row>
    <row r="75" spans="1:14" x14ac:dyDescent="0.3">
      <c r="A75" s="7" t="s">
        <v>102</v>
      </c>
      <c r="B75" s="8" t="s">
        <v>76</v>
      </c>
      <c r="C75" s="9">
        <v>401179376</v>
      </c>
      <c r="D75" s="9">
        <v>401179376</v>
      </c>
      <c r="E75" s="10">
        <v>288</v>
      </c>
      <c r="F75" s="8">
        <v>8.8000000000000007</v>
      </c>
      <c r="G75" s="11">
        <v>2.529666666666667</v>
      </c>
      <c r="H75" s="8">
        <v>59</v>
      </c>
      <c r="I75" s="8">
        <v>39</v>
      </c>
      <c r="J75" s="8">
        <v>33.5</v>
      </c>
      <c r="K75" s="17">
        <f t="shared" si="3"/>
        <v>1.9356955380577427</v>
      </c>
      <c r="L75" s="17">
        <f t="shared" si="4"/>
        <v>1.2795275590551181</v>
      </c>
      <c r="M75" s="17">
        <f t="shared" si="5"/>
        <v>1.0990813648293962</v>
      </c>
      <c r="N75">
        <v>5</v>
      </c>
    </row>
    <row r="76" spans="1:14" x14ac:dyDescent="0.3">
      <c r="A76" s="7" t="s">
        <v>103</v>
      </c>
      <c r="B76" s="8" t="s">
        <v>76</v>
      </c>
      <c r="C76" s="9">
        <v>401179377</v>
      </c>
      <c r="D76" s="9">
        <v>401179377</v>
      </c>
      <c r="E76" s="10">
        <v>288</v>
      </c>
      <c r="F76" s="8">
        <v>7.75</v>
      </c>
      <c r="G76" s="11">
        <v>2.3719999999999999</v>
      </c>
      <c r="H76" s="8">
        <v>60</v>
      </c>
      <c r="I76" s="8">
        <v>38</v>
      </c>
      <c r="J76" s="8">
        <v>32</v>
      </c>
      <c r="K76" s="17">
        <f t="shared" si="3"/>
        <v>1.9685039370078741</v>
      </c>
      <c r="L76" s="17">
        <f t="shared" si="4"/>
        <v>1.246719160104987</v>
      </c>
      <c r="M76" s="17">
        <f t="shared" si="5"/>
        <v>1.0498687664041995</v>
      </c>
      <c r="N76">
        <v>5</v>
      </c>
    </row>
    <row r="77" spans="1:14" x14ac:dyDescent="0.3">
      <c r="A77" s="7" t="s">
        <v>104</v>
      </c>
      <c r="B77" s="8" t="s">
        <v>76</v>
      </c>
      <c r="C77" s="9">
        <v>401179378</v>
      </c>
      <c r="D77" s="9">
        <v>401179378</v>
      </c>
      <c r="E77" s="10">
        <v>288</v>
      </c>
      <c r="F77" s="8">
        <v>6.8</v>
      </c>
      <c r="G77" s="11">
        <v>2.2488333333333332</v>
      </c>
      <c r="H77" s="8">
        <v>58.5</v>
      </c>
      <c r="I77" s="8">
        <v>37</v>
      </c>
      <c r="J77" s="8">
        <v>31.5</v>
      </c>
      <c r="K77" s="17">
        <f t="shared" si="3"/>
        <v>1.9192913385826771</v>
      </c>
      <c r="L77" s="17">
        <f t="shared" si="4"/>
        <v>1.2139107611548556</v>
      </c>
      <c r="M77" s="17">
        <f t="shared" si="5"/>
        <v>1.0334645669291338</v>
      </c>
      <c r="N77">
        <v>5</v>
      </c>
    </row>
    <row r="78" spans="1:14" x14ac:dyDescent="0.3">
      <c r="A78" s="13" t="s">
        <v>105</v>
      </c>
      <c r="B78" s="8" t="s">
        <v>76</v>
      </c>
      <c r="C78" s="10">
        <v>401179441</v>
      </c>
      <c r="D78" s="9">
        <v>401179441</v>
      </c>
      <c r="E78" s="10">
        <v>240</v>
      </c>
      <c r="F78" s="8">
        <v>5.4</v>
      </c>
      <c r="G78" s="11">
        <v>1.7546350248967051</v>
      </c>
      <c r="H78" s="8">
        <v>49</v>
      </c>
      <c r="I78" s="8">
        <v>39</v>
      </c>
      <c r="J78" s="8">
        <v>26</v>
      </c>
      <c r="K78" s="17">
        <f t="shared" si="3"/>
        <v>1.6076115485564304</v>
      </c>
      <c r="L78" s="17">
        <f t="shared" si="4"/>
        <v>1.2795275590551181</v>
      </c>
      <c r="M78" s="17">
        <f t="shared" si="5"/>
        <v>0.85301837270341208</v>
      </c>
      <c r="N78">
        <v>5</v>
      </c>
    </row>
    <row r="79" spans="1:14" x14ac:dyDescent="0.3">
      <c r="A79" s="13" t="s">
        <v>106</v>
      </c>
      <c r="B79" s="8" t="s">
        <v>76</v>
      </c>
      <c r="C79" s="10">
        <v>401179440</v>
      </c>
      <c r="D79" s="9">
        <v>401179440</v>
      </c>
      <c r="E79" s="10">
        <v>240</v>
      </c>
      <c r="F79" s="8">
        <v>8.67</v>
      </c>
      <c r="G79" s="11">
        <v>4.0647314334145568</v>
      </c>
      <c r="H79" s="8">
        <v>58</v>
      </c>
      <c r="I79" s="8">
        <v>49</v>
      </c>
      <c r="J79" s="8">
        <v>40.5</v>
      </c>
      <c r="K79" s="17">
        <f t="shared" si="3"/>
        <v>1.9028871391076114</v>
      </c>
      <c r="L79" s="17">
        <f t="shared" si="4"/>
        <v>1.6076115485564304</v>
      </c>
      <c r="M79" s="17">
        <f t="shared" si="5"/>
        <v>1.328740157480315</v>
      </c>
      <c r="N79">
        <v>5</v>
      </c>
    </row>
    <row r="80" spans="1:14" x14ac:dyDescent="0.3">
      <c r="A80" s="7" t="s">
        <v>107</v>
      </c>
      <c r="B80" s="8" t="s">
        <v>76</v>
      </c>
      <c r="C80" s="9">
        <v>401179235</v>
      </c>
      <c r="D80" s="9">
        <v>401179235</v>
      </c>
      <c r="E80" s="10">
        <v>32</v>
      </c>
      <c r="F80" s="8">
        <v>4.25</v>
      </c>
      <c r="G80" s="12">
        <v>2.1606481481481481</v>
      </c>
      <c r="H80" s="8">
        <v>57.5</v>
      </c>
      <c r="I80" s="8">
        <v>32</v>
      </c>
      <c r="J80" s="8">
        <v>33.5</v>
      </c>
      <c r="K80" s="17">
        <f t="shared" si="3"/>
        <v>1.886482939632546</v>
      </c>
      <c r="L80" s="17">
        <f t="shared" si="4"/>
        <v>1.0498687664041995</v>
      </c>
      <c r="M80" s="17">
        <f t="shared" si="5"/>
        <v>1.0990813648293962</v>
      </c>
      <c r="N80">
        <v>5</v>
      </c>
    </row>
    <row r="81" spans="1:14" x14ac:dyDescent="0.3">
      <c r="A81" s="7" t="s">
        <v>108</v>
      </c>
      <c r="B81" s="8" t="s">
        <v>76</v>
      </c>
      <c r="C81" s="9">
        <v>401179265</v>
      </c>
      <c r="D81" s="9">
        <v>401179265</v>
      </c>
      <c r="E81" s="10">
        <v>32</v>
      </c>
      <c r="F81" s="8">
        <v>4.18</v>
      </c>
      <c r="G81" s="11">
        <v>2.1606481481481481</v>
      </c>
      <c r="H81" s="8">
        <v>60</v>
      </c>
      <c r="I81" s="8">
        <v>39</v>
      </c>
      <c r="J81" s="8">
        <v>38</v>
      </c>
      <c r="K81" s="17">
        <f t="shared" si="3"/>
        <v>1.9685039370078741</v>
      </c>
      <c r="L81" s="17">
        <f t="shared" si="4"/>
        <v>1.2795275590551181</v>
      </c>
      <c r="M81" s="17">
        <f t="shared" si="5"/>
        <v>1.246719160104987</v>
      </c>
      <c r="N81">
        <v>5</v>
      </c>
    </row>
    <row r="82" spans="1:14" x14ac:dyDescent="0.3">
      <c r="A82" s="7" t="s">
        <v>109</v>
      </c>
      <c r="B82" s="8" t="s">
        <v>76</v>
      </c>
      <c r="C82" s="9">
        <v>401179345</v>
      </c>
      <c r="D82" s="9" t="s">
        <v>110</v>
      </c>
      <c r="E82" s="10">
        <v>240</v>
      </c>
      <c r="F82" s="8">
        <v>9.5</v>
      </c>
      <c r="G82" s="11">
        <v>4.1292421513578415</v>
      </c>
      <c r="H82" s="8">
        <v>94</v>
      </c>
      <c r="I82" s="8">
        <v>58</v>
      </c>
      <c r="J82" s="8">
        <v>19.5</v>
      </c>
      <c r="K82" s="17">
        <f t="shared" si="3"/>
        <v>3.083989501312336</v>
      </c>
      <c r="L82" s="17">
        <f t="shared" si="4"/>
        <v>1.9028871391076114</v>
      </c>
      <c r="M82" s="17">
        <f t="shared" si="5"/>
        <v>0.63976377952755903</v>
      </c>
      <c r="N82">
        <v>5</v>
      </c>
    </row>
    <row r="83" spans="1:14" x14ac:dyDescent="0.3">
      <c r="A83" s="7" t="s">
        <v>111</v>
      </c>
      <c r="B83" s="8" t="s">
        <v>76</v>
      </c>
      <c r="C83" s="9">
        <v>401179346</v>
      </c>
      <c r="D83" s="9" t="s">
        <v>112</v>
      </c>
      <c r="E83" s="10">
        <v>240</v>
      </c>
      <c r="F83" s="8">
        <v>8.8000000000000007</v>
      </c>
      <c r="G83" s="11">
        <v>4.1292421513578415</v>
      </c>
      <c r="H83" s="8">
        <v>110</v>
      </c>
      <c r="I83" s="8">
        <v>61</v>
      </c>
      <c r="J83" s="8">
        <v>19.5</v>
      </c>
      <c r="K83" s="17">
        <f t="shared" si="3"/>
        <v>3.6089238845144358</v>
      </c>
      <c r="L83" s="17">
        <f t="shared" si="4"/>
        <v>2.0013123359580054</v>
      </c>
      <c r="M83" s="17">
        <f t="shared" si="5"/>
        <v>0.63976377952755903</v>
      </c>
      <c r="N83">
        <v>5</v>
      </c>
    </row>
    <row r="84" spans="1:14" x14ac:dyDescent="0.3">
      <c r="A84" s="7" t="s">
        <v>113</v>
      </c>
      <c r="B84" s="8" t="s">
        <v>76</v>
      </c>
      <c r="C84" s="9">
        <v>401179347</v>
      </c>
      <c r="D84" s="9" t="s">
        <v>114</v>
      </c>
      <c r="E84" s="10">
        <v>240</v>
      </c>
      <c r="F84" s="8">
        <v>7.4</v>
      </c>
      <c r="G84" s="11">
        <v>4.1292421513578415</v>
      </c>
      <c r="H84" s="8">
        <v>92</v>
      </c>
      <c r="I84" s="8">
        <v>56</v>
      </c>
      <c r="J84" s="8">
        <v>19</v>
      </c>
      <c r="K84" s="17">
        <f t="shared" si="3"/>
        <v>3.0183727034120733</v>
      </c>
      <c r="L84" s="17">
        <f t="shared" si="4"/>
        <v>1.837270341207349</v>
      </c>
      <c r="M84" s="17">
        <f t="shared" si="5"/>
        <v>0.62335958005249348</v>
      </c>
      <c r="N84">
        <v>5</v>
      </c>
    </row>
    <row r="85" spans="1:14" x14ac:dyDescent="0.3">
      <c r="A85" s="7" t="s">
        <v>115</v>
      </c>
      <c r="B85" s="8" t="s">
        <v>76</v>
      </c>
      <c r="C85" s="9">
        <v>401179352</v>
      </c>
      <c r="D85" s="9" t="s">
        <v>116</v>
      </c>
      <c r="E85" s="10">
        <v>10</v>
      </c>
      <c r="F85" s="8">
        <v>9.42</v>
      </c>
      <c r="G85" s="11">
        <v>3.1955122020341129</v>
      </c>
      <c r="H85" s="8">
        <v>79</v>
      </c>
      <c r="I85" s="8">
        <v>47.5</v>
      </c>
      <c r="J85" s="8">
        <v>28</v>
      </c>
      <c r="K85" s="17">
        <f t="shared" si="3"/>
        <v>2.5918635170603674</v>
      </c>
      <c r="L85" s="17">
        <f t="shared" si="4"/>
        <v>1.5583989501312336</v>
      </c>
      <c r="M85" s="17">
        <f t="shared" si="5"/>
        <v>0.9186351706036745</v>
      </c>
      <c r="N85">
        <v>5</v>
      </c>
    </row>
    <row r="86" spans="1:14" x14ac:dyDescent="0.3">
      <c r="A86" s="7" t="s">
        <v>117</v>
      </c>
      <c r="B86" s="8" t="s">
        <v>76</v>
      </c>
      <c r="C86" s="9">
        <v>401179354</v>
      </c>
      <c r="D86" s="9" t="s">
        <v>118</v>
      </c>
      <c r="E86" s="10">
        <v>10</v>
      </c>
      <c r="F86" s="8">
        <v>8.89</v>
      </c>
      <c r="G86" s="11">
        <v>3.0468584934844793</v>
      </c>
      <c r="H86" s="8">
        <v>75</v>
      </c>
      <c r="I86" s="8">
        <v>39.5</v>
      </c>
      <c r="J86" s="8">
        <v>29.5</v>
      </c>
      <c r="K86" s="17">
        <f t="shared" si="3"/>
        <v>2.4606299212598426</v>
      </c>
      <c r="L86" s="17">
        <f t="shared" si="4"/>
        <v>1.2959317585301837</v>
      </c>
      <c r="M86" s="17">
        <f t="shared" si="5"/>
        <v>0.96784776902887137</v>
      </c>
      <c r="N86">
        <v>5</v>
      </c>
    </row>
    <row r="87" spans="1:14" x14ac:dyDescent="0.3">
      <c r="A87" s="7" t="s">
        <v>119</v>
      </c>
      <c r="B87" s="8" t="s">
        <v>76</v>
      </c>
      <c r="C87" s="9">
        <v>401179353</v>
      </c>
      <c r="D87" s="9" t="s">
        <v>120</v>
      </c>
      <c r="E87" s="10">
        <v>8</v>
      </c>
      <c r="F87" s="8">
        <v>7.95</v>
      </c>
      <c r="G87" s="11">
        <v>4.3855493166649007</v>
      </c>
      <c r="H87" s="8">
        <v>73</v>
      </c>
      <c r="I87" s="8">
        <v>45</v>
      </c>
      <c r="J87" s="8">
        <v>28</v>
      </c>
      <c r="K87" s="17">
        <f t="shared" si="3"/>
        <v>2.3950131233595799</v>
      </c>
      <c r="L87" s="17">
        <f t="shared" si="4"/>
        <v>1.4763779527559056</v>
      </c>
      <c r="M87" s="17">
        <f t="shared" si="5"/>
        <v>0.9186351706036745</v>
      </c>
      <c r="N87">
        <v>5</v>
      </c>
    </row>
    <row r="88" spans="1:14" x14ac:dyDescent="0.3">
      <c r="A88" s="7" t="s">
        <v>121</v>
      </c>
      <c r="B88" s="8" t="s">
        <v>76</v>
      </c>
      <c r="C88" s="9">
        <v>401179355</v>
      </c>
      <c r="D88" s="9" t="s">
        <v>122</v>
      </c>
      <c r="E88" s="10">
        <v>10</v>
      </c>
      <c r="F88" s="8">
        <v>10.3</v>
      </c>
      <c r="G88" s="11">
        <v>3.5546682423985594</v>
      </c>
      <c r="H88" s="8">
        <v>69</v>
      </c>
      <c r="I88" s="8">
        <v>43</v>
      </c>
      <c r="J88" s="8">
        <v>30</v>
      </c>
      <c r="K88" s="17">
        <f t="shared" si="3"/>
        <v>2.2637795275590551</v>
      </c>
      <c r="L88" s="17">
        <f t="shared" si="4"/>
        <v>1.4107611548556431</v>
      </c>
      <c r="M88" s="17">
        <f t="shared" si="5"/>
        <v>0.98425196850393704</v>
      </c>
      <c r="N88">
        <v>5</v>
      </c>
    </row>
    <row r="89" spans="1:14" x14ac:dyDescent="0.3">
      <c r="A89" s="7" t="s">
        <v>123</v>
      </c>
      <c r="B89" s="8" t="s">
        <v>76</v>
      </c>
      <c r="C89" s="9">
        <v>401179356</v>
      </c>
      <c r="D89" s="9" t="s">
        <v>124</v>
      </c>
      <c r="E89" s="10">
        <v>10</v>
      </c>
      <c r="F89" s="8">
        <v>8.6999999999999993</v>
      </c>
      <c r="G89" s="11">
        <v>3.2083159521135718</v>
      </c>
      <c r="H89" s="8">
        <v>74.5</v>
      </c>
      <c r="I89" s="8">
        <v>44</v>
      </c>
      <c r="J89" s="8">
        <v>32</v>
      </c>
      <c r="K89" s="17">
        <f t="shared" si="3"/>
        <v>2.4442257217847767</v>
      </c>
      <c r="L89" s="17">
        <f t="shared" si="4"/>
        <v>1.4435695538057742</v>
      </c>
      <c r="M89" s="17">
        <f t="shared" si="5"/>
        <v>1.0498687664041995</v>
      </c>
      <c r="N89">
        <v>5</v>
      </c>
    </row>
    <row r="90" spans="1:14" x14ac:dyDescent="0.3">
      <c r="A90" s="7" t="s">
        <v>125</v>
      </c>
      <c r="B90" s="8" t="s">
        <v>76</v>
      </c>
      <c r="C90" s="9">
        <v>401179351</v>
      </c>
      <c r="D90" s="9" t="s">
        <v>126</v>
      </c>
      <c r="E90" s="10">
        <v>10</v>
      </c>
      <c r="F90" s="8">
        <v>8.42</v>
      </c>
      <c r="G90" s="11">
        <v>3.8310433308613199</v>
      </c>
      <c r="H90" s="8">
        <v>77.5</v>
      </c>
      <c r="I90" s="8">
        <v>45</v>
      </c>
      <c r="J90" s="8">
        <v>29</v>
      </c>
      <c r="K90" s="17">
        <f t="shared" si="3"/>
        <v>2.5426509186351707</v>
      </c>
      <c r="L90" s="17">
        <f t="shared" si="4"/>
        <v>1.4763779527559056</v>
      </c>
      <c r="M90" s="17">
        <f t="shared" si="5"/>
        <v>0.95144356955380571</v>
      </c>
      <c r="N90">
        <v>5</v>
      </c>
    </row>
    <row r="91" spans="1:14" x14ac:dyDescent="0.3">
      <c r="A91" s="7" t="s">
        <v>127</v>
      </c>
      <c r="B91" s="8" t="s">
        <v>76</v>
      </c>
      <c r="C91" s="9">
        <v>401179276</v>
      </c>
      <c r="D91" s="9">
        <v>401179276</v>
      </c>
      <c r="E91" s="10">
        <v>48</v>
      </c>
      <c r="F91" s="8">
        <v>14.55</v>
      </c>
      <c r="G91" s="11">
        <v>9.6556838648161865</v>
      </c>
      <c r="H91" s="8">
        <v>77</v>
      </c>
      <c r="I91" s="8">
        <v>30</v>
      </c>
      <c r="J91" s="8">
        <v>56</v>
      </c>
      <c r="K91" s="17">
        <f t="shared" si="3"/>
        <v>2.5262467191601048</v>
      </c>
      <c r="L91" s="17">
        <f t="shared" si="4"/>
        <v>0.98425196850393704</v>
      </c>
      <c r="M91" s="17">
        <f t="shared" si="5"/>
        <v>1.837270341207349</v>
      </c>
      <c r="N91">
        <v>5</v>
      </c>
    </row>
    <row r="92" spans="1:14" x14ac:dyDescent="0.3">
      <c r="A92" s="7" t="s">
        <v>128</v>
      </c>
      <c r="B92" s="8" t="s">
        <v>76</v>
      </c>
      <c r="C92" s="9">
        <v>401179277</v>
      </c>
      <c r="D92" s="9">
        <v>401179277</v>
      </c>
      <c r="E92" s="10">
        <v>48</v>
      </c>
      <c r="F92" s="8">
        <v>14.55</v>
      </c>
      <c r="G92" s="12">
        <v>9.6556838648161865</v>
      </c>
      <c r="H92" s="8">
        <v>77</v>
      </c>
      <c r="I92" s="8">
        <v>30</v>
      </c>
      <c r="J92" s="8">
        <v>56</v>
      </c>
      <c r="K92" s="17">
        <f t="shared" si="3"/>
        <v>2.5262467191601048</v>
      </c>
      <c r="L92" s="17">
        <f t="shared" si="4"/>
        <v>0.98425196850393704</v>
      </c>
      <c r="M92" s="17">
        <f t="shared" si="5"/>
        <v>1.837270341207349</v>
      </c>
      <c r="N92">
        <v>5</v>
      </c>
    </row>
    <row r="93" spans="1:14" x14ac:dyDescent="0.3">
      <c r="A93" s="7" t="s">
        <v>129</v>
      </c>
      <c r="B93" s="8" t="s">
        <v>76</v>
      </c>
      <c r="C93" s="9">
        <v>401179217</v>
      </c>
      <c r="D93" s="9" t="s">
        <v>130</v>
      </c>
      <c r="E93" s="10">
        <v>48</v>
      </c>
      <c r="F93" s="8">
        <v>14.8</v>
      </c>
      <c r="G93" s="11">
        <v>4.8278419324080932</v>
      </c>
      <c r="H93" s="8">
        <v>82</v>
      </c>
      <c r="I93" s="8">
        <v>30</v>
      </c>
      <c r="J93" s="8">
        <v>54.5</v>
      </c>
      <c r="K93" s="17">
        <f t="shared" si="3"/>
        <v>2.690288713910761</v>
      </c>
      <c r="L93" s="17">
        <f t="shared" si="4"/>
        <v>0.98425196850393704</v>
      </c>
      <c r="M93" s="17">
        <f t="shared" si="5"/>
        <v>1.7880577427821522</v>
      </c>
      <c r="N93">
        <v>5</v>
      </c>
    </row>
    <row r="94" spans="1:14" x14ac:dyDescent="0.3">
      <c r="A94" s="7" t="s">
        <v>131</v>
      </c>
      <c r="B94" s="8" t="s">
        <v>76</v>
      </c>
      <c r="C94" s="9">
        <v>401179274</v>
      </c>
      <c r="D94" s="9">
        <v>401179274</v>
      </c>
      <c r="E94" s="10">
        <v>48</v>
      </c>
      <c r="F94" s="8">
        <v>14.8</v>
      </c>
      <c r="G94" s="12">
        <v>4.8278419324080932</v>
      </c>
      <c r="H94" s="8">
        <v>82</v>
      </c>
      <c r="I94" s="8">
        <v>30</v>
      </c>
      <c r="J94" s="8">
        <v>54.5</v>
      </c>
      <c r="K94" s="17">
        <f t="shared" si="3"/>
        <v>2.690288713910761</v>
      </c>
      <c r="L94" s="17">
        <f t="shared" si="4"/>
        <v>0.98425196850393704</v>
      </c>
      <c r="M94" s="17">
        <f t="shared" si="5"/>
        <v>1.7880577427821522</v>
      </c>
      <c r="N94">
        <v>5</v>
      </c>
    </row>
    <row r="95" spans="1:14" x14ac:dyDescent="0.3">
      <c r="A95" s="7" t="s">
        <v>132</v>
      </c>
      <c r="B95" s="8" t="s">
        <v>76</v>
      </c>
      <c r="C95" s="9">
        <v>401179275</v>
      </c>
      <c r="D95" s="9">
        <v>401179275</v>
      </c>
      <c r="E95" s="10">
        <v>48</v>
      </c>
      <c r="F95" s="8">
        <v>14.8</v>
      </c>
      <c r="G95" s="12">
        <v>4.8278419324080932</v>
      </c>
      <c r="H95" s="8">
        <v>82</v>
      </c>
      <c r="I95" s="8">
        <v>30</v>
      </c>
      <c r="J95" s="8">
        <v>54.5</v>
      </c>
      <c r="K95" s="17">
        <f t="shared" si="3"/>
        <v>2.690288713910761</v>
      </c>
      <c r="L95" s="17">
        <f t="shared" si="4"/>
        <v>0.98425196850393704</v>
      </c>
      <c r="M95" s="17">
        <f t="shared" si="5"/>
        <v>1.7880577427821522</v>
      </c>
      <c r="N95">
        <v>5</v>
      </c>
    </row>
    <row r="96" spans="1:14" x14ac:dyDescent="0.3">
      <c r="A96" s="7" t="s">
        <v>133</v>
      </c>
      <c r="B96" s="8" t="s">
        <v>76</v>
      </c>
      <c r="C96" s="9">
        <v>401179216</v>
      </c>
      <c r="D96" s="9" t="s">
        <v>134</v>
      </c>
      <c r="E96" s="10">
        <v>72</v>
      </c>
      <c r="F96" s="8">
        <v>12.55</v>
      </c>
      <c r="G96" s="12">
        <v>3.7549881696507397</v>
      </c>
      <c r="H96" s="8">
        <v>77</v>
      </c>
      <c r="I96" s="8">
        <v>28.5</v>
      </c>
      <c r="J96" s="8">
        <v>48</v>
      </c>
      <c r="K96" s="17">
        <f t="shared" si="3"/>
        <v>2.5262467191601048</v>
      </c>
      <c r="L96" s="17">
        <f t="shared" si="4"/>
        <v>0.93503937007874016</v>
      </c>
      <c r="M96" s="17">
        <f t="shared" si="5"/>
        <v>1.5748031496062991</v>
      </c>
      <c r="N96">
        <v>5</v>
      </c>
    </row>
    <row r="97" spans="1:14" x14ac:dyDescent="0.3">
      <c r="A97" s="7" t="s">
        <v>135</v>
      </c>
      <c r="B97" s="8" t="s">
        <v>76</v>
      </c>
      <c r="C97" s="9">
        <v>401179272</v>
      </c>
      <c r="D97" s="9">
        <v>401179272</v>
      </c>
      <c r="E97" s="10">
        <v>48</v>
      </c>
      <c r="F97" s="8">
        <v>12.55</v>
      </c>
      <c r="G97" s="11">
        <v>2.5033254464338266</v>
      </c>
      <c r="H97" s="8">
        <v>77</v>
      </c>
      <c r="I97" s="8">
        <v>30</v>
      </c>
      <c r="J97" s="8">
        <v>27.5</v>
      </c>
      <c r="K97" s="17">
        <f t="shared" si="3"/>
        <v>2.5262467191601048</v>
      </c>
      <c r="L97" s="17">
        <f t="shared" si="4"/>
        <v>0.98425196850393704</v>
      </c>
      <c r="M97" s="17">
        <f t="shared" si="5"/>
        <v>0.90223097112860895</v>
      </c>
      <c r="N97">
        <v>5</v>
      </c>
    </row>
    <row r="98" spans="1:14" x14ac:dyDescent="0.3">
      <c r="A98" s="7" t="s">
        <v>136</v>
      </c>
      <c r="B98" s="8" t="s">
        <v>76</v>
      </c>
      <c r="C98" s="9">
        <v>401179273</v>
      </c>
      <c r="D98" s="9">
        <v>401179273</v>
      </c>
      <c r="E98" s="10">
        <v>48</v>
      </c>
      <c r="F98" s="8">
        <v>12.55</v>
      </c>
      <c r="G98" s="11">
        <v>2.5033254464338266</v>
      </c>
      <c r="H98" s="8">
        <v>77</v>
      </c>
      <c r="I98" s="8">
        <v>30</v>
      </c>
      <c r="J98" s="8">
        <v>27.5</v>
      </c>
      <c r="K98" s="17">
        <f t="shared" si="3"/>
        <v>2.5262467191601048</v>
      </c>
      <c r="L98" s="17">
        <f t="shared" si="4"/>
        <v>0.98425196850393704</v>
      </c>
      <c r="M98" s="17">
        <f t="shared" si="5"/>
        <v>0.90223097112860895</v>
      </c>
      <c r="N98">
        <v>5</v>
      </c>
    </row>
    <row r="99" spans="1:14" x14ac:dyDescent="0.3">
      <c r="A99" s="21" t="s">
        <v>137</v>
      </c>
      <c r="B99" s="8" t="s">
        <v>76</v>
      </c>
      <c r="C99" s="9">
        <v>401179263</v>
      </c>
      <c r="D99" s="9">
        <v>401179263</v>
      </c>
      <c r="E99" s="10">
        <v>36</v>
      </c>
      <c r="F99" s="8">
        <v>3.92</v>
      </c>
      <c r="G99" s="12">
        <v>2.4307291666666666</v>
      </c>
      <c r="H99" s="8">
        <v>61</v>
      </c>
      <c r="I99" s="8">
        <v>38</v>
      </c>
      <c r="J99" s="8">
        <v>37.5</v>
      </c>
      <c r="K99" s="17">
        <f t="shared" si="3"/>
        <v>2.0013123359580054</v>
      </c>
      <c r="L99" s="17">
        <f t="shared" si="4"/>
        <v>1.246719160104987</v>
      </c>
      <c r="M99" s="17">
        <f t="shared" si="5"/>
        <v>1.2303149606299213</v>
      </c>
      <c r="N99">
        <v>5</v>
      </c>
    </row>
    <row r="100" spans="1:14" x14ac:dyDescent="0.3">
      <c r="A100" s="21" t="s">
        <v>138</v>
      </c>
      <c r="B100" s="8" t="s">
        <v>76</v>
      </c>
      <c r="C100" s="9">
        <v>401179261</v>
      </c>
      <c r="D100" s="9">
        <v>401179261</v>
      </c>
      <c r="E100" s="10">
        <v>32</v>
      </c>
      <c r="F100" s="8">
        <v>4.0999999999999996</v>
      </c>
      <c r="G100" s="12">
        <v>2.1606481481481481</v>
      </c>
      <c r="H100" s="8">
        <v>61</v>
      </c>
      <c r="I100" s="8">
        <v>39</v>
      </c>
      <c r="J100" s="8">
        <v>37.5</v>
      </c>
      <c r="K100" s="17">
        <f t="shared" si="3"/>
        <v>2.0013123359580054</v>
      </c>
      <c r="L100" s="17">
        <f t="shared" si="4"/>
        <v>1.2795275590551181</v>
      </c>
      <c r="M100" s="17">
        <f t="shared" si="5"/>
        <v>1.2303149606299213</v>
      </c>
    </row>
    <row r="101" spans="1:14" x14ac:dyDescent="0.3">
      <c r="A101" s="7" t="s">
        <v>139</v>
      </c>
      <c r="B101" s="8" t="s">
        <v>76</v>
      </c>
      <c r="C101" s="9">
        <v>401179239</v>
      </c>
      <c r="D101" s="9">
        <v>401179239</v>
      </c>
      <c r="E101" s="10">
        <v>32</v>
      </c>
      <c r="F101" s="8">
        <v>5.76</v>
      </c>
      <c r="G101" s="12">
        <v>2.4584259259259258</v>
      </c>
      <c r="H101" s="8">
        <v>60</v>
      </c>
      <c r="I101" s="8">
        <v>33.5</v>
      </c>
      <c r="J101" s="8">
        <v>36</v>
      </c>
      <c r="K101" s="17">
        <f t="shared" si="3"/>
        <v>1.9685039370078741</v>
      </c>
      <c r="L101" s="17">
        <f t="shared" si="4"/>
        <v>1.0990813648293962</v>
      </c>
      <c r="M101" s="17">
        <f t="shared" si="5"/>
        <v>1.1811023622047243</v>
      </c>
    </row>
    <row r="102" spans="1:14" x14ac:dyDescent="0.3">
      <c r="A102" s="7" t="s">
        <v>140</v>
      </c>
      <c r="B102" s="8" t="s">
        <v>76</v>
      </c>
      <c r="C102" s="9">
        <v>401179176</v>
      </c>
      <c r="D102" s="9" t="s">
        <v>141</v>
      </c>
      <c r="E102" s="10">
        <v>32</v>
      </c>
      <c r="F102" s="8">
        <v>6.31</v>
      </c>
      <c r="G102" s="11">
        <v>2.4584259259259258</v>
      </c>
      <c r="H102" s="8">
        <v>59.5</v>
      </c>
      <c r="I102" s="8">
        <v>32.5</v>
      </c>
      <c r="J102" s="8">
        <v>36.5</v>
      </c>
      <c r="K102" s="17">
        <f t="shared" si="3"/>
        <v>1.9520997375328084</v>
      </c>
      <c r="L102" s="17">
        <f t="shared" si="4"/>
        <v>1.0662729658792651</v>
      </c>
      <c r="M102" s="17">
        <f t="shared" si="5"/>
        <v>1.19750656167979</v>
      </c>
    </row>
    <row r="103" spans="1:14" x14ac:dyDescent="0.3">
      <c r="A103" s="21" t="s">
        <v>142</v>
      </c>
      <c r="B103" s="8" t="s">
        <v>76</v>
      </c>
      <c r="C103" s="9">
        <v>401179177</v>
      </c>
      <c r="D103" s="9">
        <v>401179177</v>
      </c>
      <c r="E103" s="10">
        <v>32</v>
      </c>
      <c r="F103" s="8">
        <v>6.93</v>
      </c>
      <c r="G103" s="11">
        <v>2.4584259259259258</v>
      </c>
      <c r="H103" s="8">
        <v>61</v>
      </c>
      <c r="I103" s="8">
        <v>34</v>
      </c>
      <c r="J103" s="8">
        <v>36</v>
      </c>
      <c r="K103" s="17">
        <f t="shared" si="3"/>
        <v>2.0013123359580054</v>
      </c>
      <c r="L103" s="17">
        <f t="shared" si="4"/>
        <v>1.1154855643044619</v>
      </c>
      <c r="M103" s="17">
        <f t="shared" si="5"/>
        <v>1.1811023622047243</v>
      </c>
    </row>
    <row r="104" spans="1:14" x14ac:dyDescent="0.3">
      <c r="A104" s="21" t="s">
        <v>143</v>
      </c>
      <c r="B104" s="8" t="s">
        <v>76</v>
      </c>
      <c r="C104" s="9">
        <v>401179178</v>
      </c>
      <c r="D104" s="9">
        <v>401179178</v>
      </c>
      <c r="E104" s="10">
        <v>32</v>
      </c>
      <c r="F104" s="8">
        <v>7.49</v>
      </c>
      <c r="G104" s="11">
        <v>2.4584259259259258</v>
      </c>
      <c r="H104" s="8">
        <v>52</v>
      </c>
      <c r="I104" s="8">
        <v>35</v>
      </c>
      <c r="J104" s="8">
        <v>36</v>
      </c>
      <c r="K104" s="17">
        <f t="shared" si="3"/>
        <v>1.7060367454068242</v>
      </c>
      <c r="L104" s="17">
        <f t="shared" si="4"/>
        <v>1.1482939632545932</v>
      </c>
      <c r="M104" s="17">
        <f t="shared" si="5"/>
        <v>1.1811023622047243</v>
      </c>
    </row>
    <row r="105" spans="1:14" x14ac:dyDescent="0.3">
      <c r="A105" s="15" t="s">
        <v>144</v>
      </c>
      <c r="B105" s="8" t="s">
        <v>76</v>
      </c>
      <c r="C105" s="10">
        <v>401179501</v>
      </c>
      <c r="D105" s="9">
        <v>401179501</v>
      </c>
      <c r="E105" s="10">
        <v>48</v>
      </c>
      <c r="F105" s="8">
        <v>10.3</v>
      </c>
      <c r="G105" s="11">
        <v>2.7961388888888887</v>
      </c>
      <c r="H105" s="8">
        <v>51</v>
      </c>
      <c r="I105" s="8">
        <v>35</v>
      </c>
      <c r="J105" s="8">
        <v>47</v>
      </c>
      <c r="K105" s="17">
        <f t="shared" si="3"/>
        <v>1.6732283464566928</v>
      </c>
      <c r="L105" s="17">
        <f t="shared" si="4"/>
        <v>1.1482939632545932</v>
      </c>
      <c r="M105" s="17">
        <f t="shared" si="5"/>
        <v>1.541994750656168</v>
      </c>
    </row>
    <row r="106" spans="1:14" x14ac:dyDescent="0.3">
      <c r="A106" s="17" t="s">
        <v>145</v>
      </c>
      <c r="B106" s="8" t="s">
        <v>76</v>
      </c>
      <c r="C106" s="8">
        <v>401179560</v>
      </c>
      <c r="D106" s="9">
        <v>401179560</v>
      </c>
      <c r="E106" s="10">
        <v>24</v>
      </c>
      <c r="F106" s="8">
        <v>5.42</v>
      </c>
      <c r="G106" s="11">
        <v>0.505</v>
      </c>
      <c r="H106" s="8">
        <v>25.5</v>
      </c>
      <c r="I106" s="8">
        <v>25.5</v>
      </c>
      <c r="J106" s="8">
        <v>18.5</v>
      </c>
      <c r="K106" s="17">
        <f t="shared" si="3"/>
        <v>0.83661417322834641</v>
      </c>
      <c r="L106" s="17">
        <f t="shared" si="4"/>
        <v>0.83661417322834641</v>
      </c>
      <c r="M106" s="17">
        <f t="shared" si="5"/>
        <v>0.60695538057742782</v>
      </c>
    </row>
    <row r="107" spans="1:14" x14ac:dyDescent="0.3">
      <c r="A107" s="15" t="s">
        <v>146</v>
      </c>
      <c r="B107" s="8" t="s">
        <v>76</v>
      </c>
      <c r="C107" s="10">
        <v>401179559</v>
      </c>
      <c r="D107" s="9">
        <v>401179559</v>
      </c>
      <c r="E107" s="10">
        <v>200</v>
      </c>
      <c r="F107" s="8">
        <v>6.92</v>
      </c>
      <c r="G107" s="11">
        <v>0.67129629629629628</v>
      </c>
      <c r="H107" s="8">
        <v>32</v>
      </c>
      <c r="I107" s="8">
        <v>27.5</v>
      </c>
      <c r="J107" s="8">
        <v>19.5</v>
      </c>
      <c r="K107" s="17">
        <f t="shared" si="3"/>
        <v>1.0498687664041995</v>
      </c>
      <c r="L107" s="17">
        <f t="shared" si="4"/>
        <v>0.90223097112860895</v>
      </c>
      <c r="M107" s="17">
        <f t="shared" si="5"/>
        <v>0.63976377952755903</v>
      </c>
    </row>
    <row r="108" spans="1:14" x14ac:dyDescent="0.3">
      <c r="A108" s="7" t="s">
        <v>147</v>
      </c>
      <c r="B108" s="8" t="s">
        <v>76</v>
      </c>
      <c r="C108" s="9">
        <v>401179322</v>
      </c>
      <c r="D108" s="9">
        <v>401179322</v>
      </c>
      <c r="E108" s="10">
        <v>24</v>
      </c>
      <c r="F108" s="8">
        <v>12</v>
      </c>
      <c r="G108" s="12">
        <v>1.2256944444444444</v>
      </c>
      <c r="H108" s="8">
        <v>53.5</v>
      </c>
      <c r="I108" s="8">
        <v>29.6</v>
      </c>
      <c r="J108" s="8">
        <v>21</v>
      </c>
      <c r="K108" s="17">
        <f t="shared" si="3"/>
        <v>1.7552493438320209</v>
      </c>
      <c r="L108" s="17">
        <f t="shared" si="4"/>
        <v>0.97112860892388453</v>
      </c>
      <c r="M108" s="17">
        <f t="shared" si="5"/>
        <v>0.6889763779527559</v>
      </c>
    </row>
    <row r="109" spans="1:14" x14ac:dyDescent="0.3">
      <c r="A109" s="7" t="s">
        <v>148</v>
      </c>
      <c r="B109" s="8" t="s">
        <v>76</v>
      </c>
      <c r="C109" s="9">
        <v>401179290</v>
      </c>
      <c r="D109" s="9">
        <v>401179290</v>
      </c>
      <c r="E109" s="10">
        <v>24</v>
      </c>
      <c r="F109" s="8">
        <v>12.5</v>
      </c>
      <c r="G109" s="12">
        <v>0.84976388888888876</v>
      </c>
      <c r="H109" s="8">
        <v>36</v>
      </c>
      <c r="I109" s="8">
        <v>29</v>
      </c>
      <c r="J109" s="8">
        <v>25</v>
      </c>
      <c r="K109" s="17">
        <f t="shared" si="3"/>
        <v>1.1811023622047243</v>
      </c>
      <c r="L109" s="17">
        <f t="shared" si="4"/>
        <v>0.95144356955380571</v>
      </c>
      <c r="M109" s="17">
        <f t="shared" si="5"/>
        <v>0.82020997375328086</v>
      </c>
    </row>
    <row r="110" spans="1:14" x14ac:dyDescent="0.3">
      <c r="A110" s="7" t="s">
        <v>149</v>
      </c>
      <c r="B110" s="8" t="s">
        <v>76</v>
      </c>
      <c r="C110" s="9">
        <v>401179369</v>
      </c>
      <c r="D110" s="9">
        <v>401179369</v>
      </c>
      <c r="E110" s="10">
        <v>24</v>
      </c>
      <c r="F110" s="8">
        <v>12.29</v>
      </c>
      <c r="G110" s="11">
        <v>1.0033472222222222</v>
      </c>
      <c r="H110" s="8">
        <v>40</v>
      </c>
      <c r="I110" s="8">
        <v>32.5</v>
      </c>
      <c r="J110" s="8">
        <v>24.5</v>
      </c>
      <c r="K110" s="17">
        <f t="shared" si="3"/>
        <v>1.3123359580052494</v>
      </c>
      <c r="L110" s="17">
        <f t="shared" si="4"/>
        <v>1.0662729658792651</v>
      </c>
      <c r="M110" s="17">
        <f t="shared" si="5"/>
        <v>0.8038057742782152</v>
      </c>
    </row>
    <row r="111" spans="1:14" x14ac:dyDescent="0.3">
      <c r="A111" s="7" t="s">
        <v>150</v>
      </c>
      <c r="B111" s="8" t="s">
        <v>76</v>
      </c>
      <c r="C111" s="9">
        <v>401179370</v>
      </c>
      <c r="D111" s="9">
        <v>401179370</v>
      </c>
      <c r="E111" s="10">
        <v>24</v>
      </c>
      <c r="F111" s="8">
        <v>12.04</v>
      </c>
      <c r="G111" s="11">
        <v>1.0033472222222222</v>
      </c>
      <c r="H111" s="8">
        <v>41</v>
      </c>
      <c r="I111" s="8">
        <v>32</v>
      </c>
      <c r="J111" s="8">
        <v>25</v>
      </c>
      <c r="K111" s="17">
        <f t="shared" si="3"/>
        <v>1.3451443569553805</v>
      </c>
      <c r="L111" s="17">
        <f t="shared" si="4"/>
        <v>1.0498687664041995</v>
      </c>
      <c r="M111" s="17">
        <f t="shared" si="5"/>
        <v>0.82020997375328086</v>
      </c>
    </row>
    <row r="112" spans="1:14" x14ac:dyDescent="0.3">
      <c r="A112" s="22" t="s">
        <v>151</v>
      </c>
      <c r="B112" s="8" t="s">
        <v>76</v>
      </c>
      <c r="C112" s="23">
        <v>401179513</v>
      </c>
      <c r="D112" s="9">
        <v>401179513</v>
      </c>
      <c r="E112" s="10">
        <v>36</v>
      </c>
      <c r="F112" s="8">
        <v>5.25</v>
      </c>
      <c r="G112" s="11">
        <v>0.43235416666666671</v>
      </c>
      <c r="H112" s="8">
        <v>35.5</v>
      </c>
      <c r="I112" s="8">
        <v>29.5</v>
      </c>
      <c r="J112" s="8">
        <v>15.5</v>
      </c>
      <c r="K112" s="17">
        <f t="shared" si="3"/>
        <v>1.1646981627296589</v>
      </c>
      <c r="L112" s="17">
        <f t="shared" si="4"/>
        <v>0.96784776902887137</v>
      </c>
      <c r="M112" s="17">
        <f t="shared" si="5"/>
        <v>0.50853018372703407</v>
      </c>
    </row>
    <row r="113" spans="1:13" x14ac:dyDescent="0.3">
      <c r="A113" s="7" t="s">
        <v>152</v>
      </c>
      <c r="B113" s="8" t="s">
        <v>76</v>
      </c>
      <c r="C113" s="9">
        <v>401179221</v>
      </c>
      <c r="D113" s="9" t="s">
        <v>153</v>
      </c>
      <c r="E113" s="10">
        <v>120</v>
      </c>
      <c r="F113" s="8">
        <v>12.3</v>
      </c>
      <c r="G113" s="12">
        <v>3.9252083333333339</v>
      </c>
      <c r="H113" s="8">
        <v>55.5</v>
      </c>
      <c r="I113" s="8">
        <v>42</v>
      </c>
      <c r="J113" s="8">
        <v>52.5</v>
      </c>
      <c r="K113" s="17">
        <f t="shared" si="3"/>
        <v>1.8208661417322833</v>
      </c>
      <c r="L113" s="17">
        <f t="shared" si="4"/>
        <v>1.3779527559055118</v>
      </c>
      <c r="M113" s="17">
        <f t="shared" si="5"/>
        <v>1.7224409448818898</v>
      </c>
    </row>
    <row r="114" spans="1:13" x14ac:dyDescent="0.3">
      <c r="A114" s="7" t="s">
        <v>154</v>
      </c>
      <c r="B114" s="8" t="s">
        <v>76</v>
      </c>
      <c r="C114" s="9">
        <v>401179281</v>
      </c>
      <c r="D114" s="9">
        <v>401179281</v>
      </c>
      <c r="E114" s="10">
        <v>48</v>
      </c>
      <c r="F114" s="8">
        <v>10.7</v>
      </c>
      <c r="G114" s="11">
        <v>2.1122470600699224</v>
      </c>
      <c r="H114" s="8">
        <v>50.5</v>
      </c>
      <c r="I114" s="8">
        <v>43.5</v>
      </c>
      <c r="J114" s="8">
        <v>28.8</v>
      </c>
      <c r="K114" s="17">
        <f t="shared" si="3"/>
        <v>1.6568241469816272</v>
      </c>
      <c r="L114" s="17">
        <f t="shared" si="4"/>
        <v>1.4271653543307086</v>
      </c>
      <c r="M114" s="17">
        <f t="shared" si="5"/>
        <v>0.94488188976377951</v>
      </c>
    </row>
    <row r="115" spans="1:13" x14ac:dyDescent="0.3">
      <c r="A115" s="7" t="s">
        <v>155</v>
      </c>
      <c r="B115" s="8" t="s">
        <v>76</v>
      </c>
      <c r="C115" s="9">
        <v>401179264</v>
      </c>
      <c r="D115" s="9">
        <v>401179264</v>
      </c>
      <c r="E115" s="10">
        <v>36</v>
      </c>
      <c r="F115" s="8">
        <v>4.18</v>
      </c>
      <c r="G115" s="12">
        <v>3.3895833333333329</v>
      </c>
      <c r="H115" s="8">
        <v>60</v>
      </c>
      <c r="I115" s="8">
        <v>39</v>
      </c>
      <c r="J115" s="8">
        <v>38</v>
      </c>
      <c r="K115" s="17">
        <f t="shared" si="3"/>
        <v>1.9685039370078741</v>
      </c>
      <c r="L115" s="17">
        <f t="shared" si="4"/>
        <v>1.2795275590551181</v>
      </c>
      <c r="M115" s="17">
        <f t="shared" si="5"/>
        <v>1.246719160104987</v>
      </c>
    </row>
    <row r="116" spans="1:13" x14ac:dyDescent="0.3">
      <c r="A116" s="21" t="s">
        <v>156</v>
      </c>
      <c r="B116" s="8" t="s">
        <v>76</v>
      </c>
      <c r="C116" s="10">
        <v>401179538</v>
      </c>
      <c r="D116" s="9">
        <v>401179538</v>
      </c>
      <c r="E116" s="10">
        <v>24</v>
      </c>
      <c r="F116" s="8">
        <v>12.2</v>
      </c>
      <c r="G116" s="11">
        <v>1.353003496133065</v>
      </c>
      <c r="H116" s="8">
        <v>38</v>
      </c>
      <c r="I116" s="8">
        <v>33.5</v>
      </c>
      <c r="J116" s="8">
        <v>27</v>
      </c>
      <c r="K116" s="17">
        <f t="shared" si="3"/>
        <v>1.246719160104987</v>
      </c>
      <c r="L116" s="17">
        <f t="shared" si="4"/>
        <v>1.0990813648293962</v>
      </c>
      <c r="M116" s="17">
        <f t="shared" si="5"/>
        <v>0.88582677165354329</v>
      </c>
    </row>
    <row r="117" spans="1:13" x14ac:dyDescent="0.3">
      <c r="A117" s="7" t="s">
        <v>157</v>
      </c>
      <c r="B117" s="8" t="s">
        <v>158</v>
      </c>
      <c r="C117" s="9">
        <v>401379001</v>
      </c>
      <c r="D117" s="9">
        <v>401379001</v>
      </c>
      <c r="E117" s="10">
        <v>120</v>
      </c>
      <c r="F117" s="8">
        <v>5.45</v>
      </c>
      <c r="G117" s="12">
        <v>0.56784722222222217</v>
      </c>
      <c r="H117" s="8">
        <v>32.5</v>
      </c>
      <c r="I117" s="8">
        <v>32.5</v>
      </c>
      <c r="J117" s="8">
        <v>16</v>
      </c>
      <c r="K117" s="17">
        <f t="shared" si="3"/>
        <v>1.0662729658792651</v>
      </c>
      <c r="L117" s="17">
        <f t="shared" si="4"/>
        <v>1.0662729658792651</v>
      </c>
      <c r="M117" s="17">
        <f t="shared" si="5"/>
        <v>0.52493438320209973</v>
      </c>
    </row>
    <row r="118" spans="1:13" x14ac:dyDescent="0.3">
      <c r="A118" s="7" t="s">
        <v>159</v>
      </c>
      <c r="B118" s="8" t="s">
        <v>160</v>
      </c>
      <c r="C118" s="9">
        <v>401181003</v>
      </c>
      <c r="D118" s="9">
        <v>401181003</v>
      </c>
      <c r="E118" s="10">
        <v>50</v>
      </c>
      <c r="F118" s="8">
        <v>20.399999999999999</v>
      </c>
      <c r="G118" s="11">
        <v>2.0300925925925926</v>
      </c>
      <c r="H118" s="8">
        <v>40</v>
      </c>
      <c r="I118" s="8">
        <v>43</v>
      </c>
      <c r="J118" s="8">
        <v>34.5</v>
      </c>
      <c r="K118" s="17">
        <f t="shared" si="3"/>
        <v>1.3123359580052494</v>
      </c>
      <c r="L118" s="17">
        <f t="shared" si="4"/>
        <v>1.4107611548556431</v>
      </c>
      <c r="M118" s="17">
        <f t="shared" si="5"/>
        <v>1.1318897637795275</v>
      </c>
    </row>
    <row r="119" spans="1:13" x14ac:dyDescent="0.3">
      <c r="A119" s="7" t="s">
        <v>161</v>
      </c>
      <c r="B119" s="8" t="s">
        <v>160</v>
      </c>
      <c r="C119" s="9">
        <v>401181007</v>
      </c>
      <c r="D119" s="9">
        <v>401181007</v>
      </c>
      <c r="E119" s="10">
        <v>1080</v>
      </c>
      <c r="F119" s="8">
        <v>4.9400000000000004</v>
      </c>
      <c r="G119" s="11">
        <v>0.5850651465082457</v>
      </c>
      <c r="H119" s="8">
        <v>31.5</v>
      </c>
      <c r="I119" s="8">
        <v>19</v>
      </c>
      <c r="J119" s="8">
        <v>30.5</v>
      </c>
      <c r="K119" s="17">
        <f t="shared" si="3"/>
        <v>1.0334645669291338</v>
      </c>
      <c r="L119" s="17">
        <f t="shared" si="4"/>
        <v>0.62335958005249348</v>
      </c>
      <c r="M119" s="17">
        <f t="shared" si="5"/>
        <v>1.0006561679790027</v>
      </c>
    </row>
    <row r="120" spans="1:13" x14ac:dyDescent="0.3">
      <c r="A120" s="15" t="s">
        <v>162</v>
      </c>
      <c r="B120" s="8" t="s">
        <v>160</v>
      </c>
      <c r="C120" s="10">
        <v>401181016</v>
      </c>
      <c r="D120" s="9">
        <v>401181016</v>
      </c>
      <c r="E120" s="10">
        <v>48</v>
      </c>
      <c r="F120" s="8">
        <v>3.5</v>
      </c>
      <c r="G120" s="11">
        <v>1.4817222222222222</v>
      </c>
      <c r="H120" s="8">
        <v>48</v>
      </c>
      <c r="I120" s="8">
        <v>32.5</v>
      </c>
      <c r="J120" s="8">
        <v>17</v>
      </c>
      <c r="K120" s="17">
        <f t="shared" si="3"/>
        <v>1.5748031496062991</v>
      </c>
      <c r="L120" s="17">
        <f t="shared" si="4"/>
        <v>1.0662729658792651</v>
      </c>
      <c r="M120" s="17">
        <f t="shared" si="5"/>
        <v>0.55774278215223094</v>
      </c>
    </row>
    <row r="121" spans="1:13" x14ac:dyDescent="0.3">
      <c r="A121" s="7" t="s">
        <v>163</v>
      </c>
      <c r="B121" s="8" t="s">
        <v>164</v>
      </c>
      <c r="C121" s="9">
        <v>401211007</v>
      </c>
      <c r="D121" s="9">
        <v>401211007</v>
      </c>
      <c r="E121" s="10">
        <v>24</v>
      </c>
      <c r="F121" s="8">
        <v>16.05</v>
      </c>
      <c r="G121" s="12">
        <v>1.3914722222222222</v>
      </c>
      <c r="H121" s="8">
        <v>47.5</v>
      </c>
      <c r="I121" s="8">
        <v>38.5</v>
      </c>
      <c r="J121" s="8">
        <v>27</v>
      </c>
      <c r="K121" s="17">
        <f t="shared" si="3"/>
        <v>1.5583989501312336</v>
      </c>
      <c r="L121" s="17">
        <f t="shared" si="4"/>
        <v>1.2631233595800524</v>
      </c>
      <c r="M121" s="17">
        <f t="shared" si="5"/>
        <v>0.88582677165354329</v>
      </c>
    </row>
    <row r="122" spans="1:13" x14ac:dyDescent="0.3">
      <c r="A122" s="7" t="s">
        <v>165</v>
      </c>
      <c r="B122" s="8" t="s">
        <v>164</v>
      </c>
      <c r="C122" s="9">
        <v>401211005</v>
      </c>
      <c r="D122" s="9">
        <v>401211005</v>
      </c>
      <c r="E122" s="10">
        <v>200</v>
      </c>
      <c r="F122" s="8">
        <v>13.55</v>
      </c>
      <c r="G122" s="11">
        <v>1.186574074074074</v>
      </c>
      <c r="H122" s="8">
        <v>49</v>
      </c>
      <c r="I122" s="8">
        <v>29.5</v>
      </c>
      <c r="J122" s="8">
        <v>25.5</v>
      </c>
      <c r="K122" s="17">
        <f t="shared" si="3"/>
        <v>1.6076115485564304</v>
      </c>
      <c r="L122" s="17">
        <f t="shared" si="4"/>
        <v>0.96784776902887137</v>
      </c>
      <c r="M122" s="17">
        <f t="shared" si="5"/>
        <v>0.83661417322834641</v>
      </c>
    </row>
    <row r="123" spans="1:13" x14ac:dyDescent="0.3">
      <c r="A123" s="13" t="s">
        <v>166</v>
      </c>
      <c r="B123" s="8" t="s">
        <v>167</v>
      </c>
      <c r="C123" s="10">
        <v>400127024</v>
      </c>
      <c r="D123" s="9">
        <v>400127024</v>
      </c>
      <c r="E123" s="10">
        <v>1584</v>
      </c>
      <c r="F123" s="8">
        <v>18.100000000000001</v>
      </c>
      <c r="G123" s="11">
        <v>3.2725</v>
      </c>
      <c r="H123" s="8">
        <v>56</v>
      </c>
      <c r="I123" s="8">
        <v>50</v>
      </c>
      <c r="J123" s="8">
        <v>36.5</v>
      </c>
      <c r="K123" s="17">
        <f t="shared" si="3"/>
        <v>1.837270341207349</v>
      </c>
      <c r="L123" s="17">
        <f t="shared" si="4"/>
        <v>1.6404199475065617</v>
      </c>
      <c r="M123" s="17">
        <f t="shared" si="5"/>
        <v>1.19750656167979</v>
      </c>
    </row>
    <row r="124" spans="1:13" x14ac:dyDescent="0.3">
      <c r="A124" s="7" t="s">
        <v>168</v>
      </c>
      <c r="B124" s="8" t="s">
        <v>169</v>
      </c>
      <c r="C124" s="9">
        <v>401421001</v>
      </c>
      <c r="D124" s="9">
        <v>401421001</v>
      </c>
      <c r="E124" s="10">
        <v>96</v>
      </c>
      <c r="F124" s="8">
        <v>2.75</v>
      </c>
      <c r="G124" s="12">
        <v>5.3395776082890742E-2</v>
      </c>
      <c r="H124" s="8">
        <v>30</v>
      </c>
      <c r="I124" s="8">
        <v>20</v>
      </c>
      <c r="J124" s="8">
        <v>25.5</v>
      </c>
      <c r="K124" s="17">
        <f t="shared" si="3"/>
        <v>0.98425196850393704</v>
      </c>
      <c r="L124" s="17">
        <f t="shared" si="4"/>
        <v>0.65616797900262469</v>
      </c>
      <c r="M124" s="17">
        <f t="shared" si="5"/>
        <v>0.83661417322834641</v>
      </c>
    </row>
    <row r="125" spans="1:13" x14ac:dyDescent="0.3">
      <c r="A125" s="7" t="s">
        <v>170</v>
      </c>
      <c r="B125" s="8" t="s">
        <v>171</v>
      </c>
      <c r="C125" s="9">
        <v>401361008</v>
      </c>
      <c r="D125" s="9">
        <v>401361008</v>
      </c>
      <c r="E125" s="10">
        <v>50</v>
      </c>
      <c r="F125" s="8">
        <v>3.24</v>
      </c>
      <c r="G125" s="12">
        <v>0.43525090934774169</v>
      </c>
      <c r="H125" s="8">
        <v>29.5</v>
      </c>
      <c r="I125" s="8">
        <v>25</v>
      </c>
      <c r="J125" s="8">
        <v>17</v>
      </c>
      <c r="K125" s="17">
        <f t="shared" si="3"/>
        <v>0.96784776902887137</v>
      </c>
      <c r="L125" s="17">
        <f t="shared" si="4"/>
        <v>0.82020997375328086</v>
      </c>
      <c r="M125" s="17">
        <f t="shared" si="5"/>
        <v>0.55774278215223094</v>
      </c>
    </row>
    <row r="126" spans="1:13" x14ac:dyDescent="0.3">
      <c r="A126" s="7" t="s">
        <v>172</v>
      </c>
      <c r="B126" s="8" t="s">
        <v>171</v>
      </c>
      <c r="C126" s="9">
        <v>401361004</v>
      </c>
      <c r="D126" s="9">
        <v>401361004</v>
      </c>
      <c r="E126" s="10">
        <v>160</v>
      </c>
      <c r="F126" s="8">
        <v>8.68</v>
      </c>
      <c r="G126" s="11">
        <v>2.5807818624854328</v>
      </c>
      <c r="H126" s="8">
        <v>51.5</v>
      </c>
      <c r="I126" s="8">
        <v>32</v>
      </c>
      <c r="J126" s="8">
        <v>43.5</v>
      </c>
      <c r="K126" s="17">
        <f t="shared" si="3"/>
        <v>1.6896325459317585</v>
      </c>
      <c r="L126" s="17">
        <f t="shared" si="4"/>
        <v>1.0498687664041995</v>
      </c>
      <c r="M126" s="17">
        <f t="shared" si="5"/>
        <v>1.4271653543307086</v>
      </c>
    </row>
    <row r="127" spans="1:13" x14ac:dyDescent="0.3">
      <c r="A127" s="7" t="s">
        <v>173</v>
      </c>
      <c r="B127" s="8" t="s">
        <v>171</v>
      </c>
      <c r="C127" s="9">
        <v>401361007</v>
      </c>
      <c r="D127" s="9">
        <v>401361007</v>
      </c>
      <c r="E127" s="10">
        <v>96</v>
      </c>
      <c r="F127" s="8">
        <v>2.86</v>
      </c>
      <c r="G127" s="11">
        <v>0.26168026273969697</v>
      </c>
      <c r="H127" s="8">
        <v>25.5</v>
      </c>
      <c r="I127" s="8">
        <v>26.5</v>
      </c>
      <c r="J127" s="8">
        <v>9.5</v>
      </c>
      <c r="K127" s="17">
        <f t="shared" si="3"/>
        <v>0.83661417322834641</v>
      </c>
      <c r="L127" s="17">
        <f t="shared" si="4"/>
        <v>0.86942257217847763</v>
      </c>
      <c r="M127" s="17">
        <f t="shared" si="5"/>
        <v>0.31167979002624674</v>
      </c>
    </row>
    <row r="128" spans="1:13" x14ac:dyDescent="0.3">
      <c r="A128" s="7" t="s">
        <v>174</v>
      </c>
      <c r="B128" s="8" t="s">
        <v>171</v>
      </c>
      <c r="C128" s="9">
        <v>401361005</v>
      </c>
      <c r="D128" s="9">
        <v>401361005</v>
      </c>
      <c r="E128" s="10">
        <v>100</v>
      </c>
      <c r="F128" s="8">
        <v>2.65</v>
      </c>
      <c r="G128" s="12">
        <v>0.41303810431896026</v>
      </c>
      <c r="H128" s="8">
        <v>34.5</v>
      </c>
      <c r="I128" s="8">
        <v>15.5</v>
      </c>
      <c r="J128" s="8">
        <v>21.5</v>
      </c>
      <c r="K128" s="17">
        <f t="shared" si="3"/>
        <v>1.1318897637795275</v>
      </c>
      <c r="L128" s="17">
        <f t="shared" si="4"/>
        <v>0.50853018372703407</v>
      </c>
      <c r="M128" s="17">
        <f t="shared" si="5"/>
        <v>0.70538057742782156</v>
      </c>
    </row>
    <row r="129" spans="1:14" x14ac:dyDescent="0.3">
      <c r="A129" s="7" t="s">
        <v>175</v>
      </c>
      <c r="B129" s="8" t="s">
        <v>171</v>
      </c>
      <c r="C129" s="9">
        <v>401361003</v>
      </c>
      <c r="D129" s="9">
        <v>401361003</v>
      </c>
      <c r="E129" s="10">
        <v>24</v>
      </c>
      <c r="F129" s="8">
        <v>3.32</v>
      </c>
      <c r="G129" s="12">
        <v>0.37034722222222222</v>
      </c>
      <c r="H129" s="8">
        <v>25</v>
      </c>
      <c r="I129" s="8">
        <v>18</v>
      </c>
      <c r="J129" s="8">
        <v>27</v>
      </c>
      <c r="K129" s="17">
        <f t="shared" si="3"/>
        <v>0.82020997375328086</v>
      </c>
      <c r="L129" s="17">
        <f t="shared" si="4"/>
        <v>0.59055118110236215</v>
      </c>
      <c r="M129" s="17">
        <f t="shared" si="5"/>
        <v>0.88582677165354329</v>
      </c>
    </row>
    <row r="130" spans="1:14" x14ac:dyDescent="0.3">
      <c r="A130" s="7" t="s">
        <v>176</v>
      </c>
      <c r="B130" s="8" t="s">
        <v>171</v>
      </c>
      <c r="C130" s="9">
        <v>401361002</v>
      </c>
      <c r="D130" s="9">
        <v>401361002</v>
      </c>
      <c r="E130" s="10">
        <v>240</v>
      </c>
      <c r="F130" s="8">
        <v>0.55000000000000004</v>
      </c>
      <c r="G130" s="11">
        <v>0.49472222222222217</v>
      </c>
      <c r="H130" s="8">
        <v>34</v>
      </c>
      <c r="I130" s="8">
        <v>25</v>
      </c>
      <c r="J130" s="8">
        <v>19.899999999999999</v>
      </c>
      <c r="K130" s="17">
        <f t="shared" si="3"/>
        <v>1.1154855643044619</v>
      </c>
      <c r="L130" s="17">
        <f t="shared" si="4"/>
        <v>0.82020997375328086</v>
      </c>
      <c r="M130" s="17">
        <f t="shared" si="5"/>
        <v>0.65288713910761154</v>
      </c>
    </row>
    <row r="131" spans="1:14" x14ac:dyDescent="0.3">
      <c r="A131" s="13" t="s">
        <v>177</v>
      </c>
      <c r="B131" s="8" t="s">
        <v>178</v>
      </c>
      <c r="C131" s="10">
        <v>400111061</v>
      </c>
      <c r="D131" s="9">
        <v>400111061</v>
      </c>
      <c r="E131" s="10">
        <v>360</v>
      </c>
      <c r="F131" s="8">
        <v>8.57</v>
      </c>
      <c r="G131" s="11">
        <v>0.74791666666666656</v>
      </c>
      <c r="H131" s="8">
        <v>38.5</v>
      </c>
      <c r="I131" s="8">
        <v>38</v>
      </c>
      <c r="J131" s="8">
        <v>14.5</v>
      </c>
      <c r="K131" s="17">
        <f t="shared" ref="K131:K194" si="6">H131/30.48</f>
        <v>1.2631233595800524</v>
      </c>
      <c r="L131" s="17">
        <f t="shared" ref="L131:L194" si="7">I131/30.48</f>
        <v>1.246719160104987</v>
      </c>
      <c r="M131" s="17">
        <f t="shared" ref="M131:M194" si="8">J131/30.48</f>
        <v>0.47572178477690286</v>
      </c>
    </row>
    <row r="132" spans="1:14" x14ac:dyDescent="0.3">
      <c r="A132" s="21" t="s">
        <v>179</v>
      </c>
      <c r="B132" s="8" t="s">
        <v>178</v>
      </c>
      <c r="C132" s="9">
        <v>400111060</v>
      </c>
      <c r="D132" s="9">
        <v>400111060</v>
      </c>
      <c r="E132" s="10">
        <v>20</v>
      </c>
      <c r="F132" s="8">
        <v>11.5</v>
      </c>
      <c r="G132" s="12">
        <v>0.87360949253098841</v>
      </c>
      <c r="H132" s="8">
        <v>37.5</v>
      </c>
      <c r="I132" s="8">
        <v>30.5</v>
      </c>
      <c r="J132" s="8">
        <v>20.5</v>
      </c>
      <c r="K132" s="17">
        <f t="shared" si="6"/>
        <v>1.2303149606299213</v>
      </c>
      <c r="L132" s="17">
        <f t="shared" si="7"/>
        <v>1.0006561679790027</v>
      </c>
      <c r="M132" s="17">
        <f t="shared" si="8"/>
        <v>0.67257217847769024</v>
      </c>
    </row>
    <row r="133" spans="1:14" x14ac:dyDescent="0.3">
      <c r="A133" s="7" t="s">
        <v>180</v>
      </c>
      <c r="B133" s="8" t="s">
        <v>181</v>
      </c>
      <c r="C133" s="9">
        <v>401115005</v>
      </c>
      <c r="D133" s="9" t="s">
        <v>182</v>
      </c>
      <c r="E133" s="10">
        <v>200</v>
      </c>
      <c r="F133" s="8">
        <v>4.5</v>
      </c>
      <c r="G133" s="12">
        <v>0.94849537037037035</v>
      </c>
      <c r="H133" s="8">
        <v>58.5</v>
      </c>
      <c r="I133" s="8">
        <v>23</v>
      </c>
      <c r="J133" s="8">
        <v>14</v>
      </c>
      <c r="K133" s="17">
        <f t="shared" si="6"/>
        <v>1.9192913385826771</v>
      </c>
      <c r="L133" s="17">
        <f t="shared" si="7"/>
        <v>0.75459317585301833</v>
      </c>
      <c r="M133" s="17">
        <f t="shared" si="8"/>
        <v>0.45931758530183725</v>
      </c>
    </row>
    <row r="134" spans="1:14" x14ac:dyDescent="0.3">
      <c r="A134" s="15" t="s">
        <v>183</v>
      </c>
      <c r="B134" s="8" t="s">
        <v>167</v>
      </c>
      <c r="C134" s="10">
        <v>400127028</v>
      </c>
      <c r="D134" s="9">
        <v>400127028</v>
      </c>
      <c r="E134" s="10">
        <v>1584</v>
      </c>
      <c r="F134" s="8">
        <v>17.95</v>
      </c>
      <c r="G134" s="11">
        <v>3.2725</v>
      </c>
      <c r="H134" s="8">
        <v>56.5</v>
      </c>
      <c r="I134" s="8">
        <v>50</v>
      </c>
      <c r="J134" s="8">
        <v>38</v>
      </c>
      <c r="K134" s="17">
        <f t="shared" si="6"/>
        <v>1.8536745406824147</v>
      </c>
      <c r="L134" s="17">
        <f t="shared" si="7"/>
        <v>1.6404199475065617</v>
      </c>
      <c r="M134" s="17">
        <f t="shared" si="8"/>
        <v>1.246719160104987</v>
      </c>
    </row>
    <row r="135" spans="1:14" x14ac:dyDescent="0.3">
      <c r="A135" s="7" t="s">
        <v>184</v>
      </c>
      <c r="B135" s="8" t="s">
        <v>185</v>
      </c>
      <c r="C135" s="9">
        <v>401210013</v>
      </c>
      <c r="D135" s="9">
        <v>401210013</v>
      </c>
      <c r="E135" s="10">
        <v>144</v>
      </c>
      <c r="F135" s="8">
        <v>6.67</v>
      </c>
      <c r="G135" s="12">
        <v>0.72661692512798837</v>
      </c>
      <c r="H135" s="8">
        <v>43.5</v>
      </c>
      <c r="I135" s="8">
        <v>23</v>
      </c>
      <c r="J135" s="8">
        <v>22</v>
      </c>
      <c r="K135" s="17">
        <f t="shared" si="6"/>
        <v>1.4271653543307086</v>
      </c>
      <c r="L135" s="17">
        <f t="shared" si="7"/>
        <v>0.75459317585301833</v>
      </c>
      <c r="M135" s="17">
        <f t="shared" si="8"/>
        <v>0.72178477690288712</v>
      </c>
      <c r="N135">
        <v>5</v>
      </c>
    </row>
    <row r="136" spans="1:14" x14ac:dyDescent="0.3">
      <c r="A136" s="7" t="s">
        <v>186</v>
      </c>
      <c r="B136" s="8" t="s">
        <v>185</v>
      </c>
      <c r="C136" s="9">
        <v>401210004</v>
      </c>
      <c r="D136" s="9">
        <v>401210004</v>
      </c>
      <c r="E136" s="10">
        <v>72</v>
      </c>
      <c r="F136" s="8">
        <v>7.31</v>
      </c>
      <c r="G136" s="12">
        <v>1.0084887170251087</v>
      </c>
      <c r="H136" s="8">
        <v>38</v>
      </c>
      <c r="I136" s="8">
        <v>34</v>
      </c>
      <c r="J136" s="8">
        <v>21</v>
      </c>
      <c r="K136" s="17">
        <f t="shared" si="6"/>
        <v>1.246719160104987</v>
      </c>
      <c r="L136" s="17">
        <f t="shared" si="7"/>
        <v>1.1154855643044619</v>
      </c>
      <c r="M136" s="17">
        <f t="shared" si="8"/>
        <v>0.6889763779527559</v>
      </c>
      <c r="N136">
        <v>5</v>
      </c>
    </row>
    <row r="137" spans="1:14" x14ac:dyDescent="0.3">
      <c r="A137" s="7" t="s">
        <v>187</v>
      </c>
      <c r="B137" s="8" t="s">
        <v>188</v>
      </c>
      <c r="C137" s="9">
        <v>400134006</v>
      </c>
      <c r="D137" s="9">
        <v>400134006</v>
      </c>
      <c r="E137" s="10">
        <v>72</v>
      </c>
      <c r="F137" s="8">
        <v>5.0999999999999996</v>
      </c>
      <c r="G137" s="11">
        <v>0.51971888720680326</v>
      </c>
      <c r="H137" s="8">
        <v>29.4</v>
      </c>
      <c r="I137" s="8">
        <v>29.5</v>
      </c>
      <c r="J137" s="8">
        <v>18.5</v>
      </c>
      <c r="K137" s="17">
        <f t="shared" si="6"/>
        <v>0.96456692913385822</v>
      </c>
      <c r="L137" s="17">
        <f t="shared" si="7"/>
        <v>0.96784776902887137</v>
      </c>
      <c r="M137" s="17">
        <f t="shared" si="8"/>
        <v>0.60695538057742782</v>
      </c>
      <c r="N137">
        <v>5</v>
      </c>
    </row>
    <row r="138" spans="1:14" x14ac:dyDescent="0.3">
      <c r="A138" s="15" t="s">
        <v>189</v>
      </c>
      <c r="B138" s="8" t="s">
        <v>190</v>
      </c>
      <c r="C138" s="10">
        <v>400087038</v>
      </c>
      <c r="D138" s="9">
        <v>400087038</v>
      </c>
      <c r="E138" s="10">
        <v>84</v>
      </c>
      <c r="F138" s="8">
        <v>12.7</v>
      </c>
      <c r="G138" s="11">
        <v>1.6646388888888888</v>
      </c>
      <c r="H138" s="8">
        <v>64</v>
      </c>
      <c r="I138" s="8">
        <v>38</v>
      </c>
      <c r="J138" s="8">
        <v>20.5</v>
      </c>
      <c r="K138" s="17">
        <f t="shared" si="6"/>
        <v>2.0997375328083989</v>
      </c>
      <c r="L138" s="17">
        <f t="shared" si="7"/>
        <v>1.246719160104987</v>
      </c>
      <c r="M138" s="17">
        <f t="shared" si="8"/>
        <v>0.67257217847769024</v>
      </c>
      <c r="N138">
        <v>5</v>
      </c>
    </row>
    <row r="139" spans="1:14" x14ac:dyDescent="0.3">
      <c r="A139" s="13" t="s">
        <v>191</v>
      </c>
      <c r="B139" s="8" t="s">
        <v>190</v>
      </c>
      <c r="C139" s="10">
        <v>400087027</v>
      </c>
      <c r="D139" s="9">
        <v>400087027</v>
      </c>
      <c r="E139" s="10">
        <v>144</v>
      </c>
      <c r="F139" s="8">
        <v>11.4</v>
      </c>
      <c r="G139" s="11">
        <v>0.66641666666666666</v>
      </c>
      <c r="H139" s="8">
        <v>32</v>
      </c>
      <c r="I139" s="8">
        <v>26.5</v>
      </c>
      <c r="J139" s="8">
        <v>22</v>
      </c>
      <c r="K139" s="17">
        <f t="shared" si="6"/>
        <v>1.0498687664041995</v>
      </c>
      <c r="L139" s="17">
        <f t="shared" si="7"/>
        <v>0.86942257217847763</v>
      </c>
      <c r="M139" s="17">
        <f t="shared" si="8"/>
        <v>0.72178477690288712</v>
      </c>
      <c r="N139">
        <v>5</v>
      </c>
    </row>
    <row r="140" spans="1:14" x14ac:dyDescent="0.3">
      <c r="A140" s="21" t="s">
        <v>192</v>
      </c>
      <c r="B140" s="8" t="s">
        <v>190</v>
      </c>
      <c r="C140" s="9">
        <v>400087014</v>
      </c>
      <c r="D140" s="9">
        <v>400087014</v>
      </c>
      <c r="E140" s="10">
        <v>200</v>
      </c>
      <c r="F140" s="8">
        <v>4.1100000000000003</v>
      </c>
      <c r="G140" s="11">
        <v>0.67141646360843299</v>
      </c>
      <c r="H140" s="8">
        <v>57</v>
      </c>
      <c r="I140" s="8">
        <v>24.5</v>
      </c>
      <c r="J140" s="8">
        <v>13</v>
      </c>
      <c r="K140" s="17">
        <f t="shared" si="6"/>
        <v>1.8700787401574803</v>
      </c>
      <c r="L140" s="17">
        <f t="shared" si="7"/>
        <v>0.8038057742782152</v>
      </c>
      <c r="M140" s="17">
        <f t="shared" si="8"/>
        <v>0.42650918635170604</v>
      </c>
      <c r="N140">
        <v>5</v>
      </c>
    </row>
    <row r="141" spans="1:14" x14ac:dyDescent="0.3">
      <c r="A141" s="13" t="s">
        <v>193</v>
      </c>
      <c r="B141" s="8" t="s">
        <v>194</v>
      </c>
      <c r="C141" s="10">
        <v>401411001</v>
      </c>
      <c r="D141" s="9">
        <v>401411001</v>
      </c>
      <c r="E141" s="10">
        <v>24</v>
      </c>
      <c r="F141" s="8">
        <v>15.4</v>
      </c>
      <c r="G141" s="11">
        <v>1.1360138888888889</v>
      </c>
      <c r="H141" s="8">
        <v>43.5</v>
      </c>
      <c r="I141" s="8">
        <v>24.5</v>
      </c>
      <c r="J141" s="8">
        <v>30</v>
      </c>
      <c r="K141" s="17">
        <f t="shared" si="6"/>
        <v>1.4271653543307086</v>
      </c>
      <c r="L141" s="17">
        <f t="shared" si="7"/>
        <v>0.8038057742782152</v>
      </c>
      <c r="M141" s="17">
        <f t="shared" si="8"/>
        <v>0.98425196850393704</v>
      </c>
      <c r="N141">
        <v>5</v>
      </c>
    </row>
    <row r="142" spans="1:14" x14ac:dyDescent="0.3">
      <c r="A142" s="7" t="s">
        <v>195</v>
      </c>
      <c r="B142" s="8" t="s">
        <v>194</v>
      </c>
      <c r="C142" s="9">
        <v>400935015</v>
      </c>
      <c r="D142" s="9">
        <v>400935015</v>
      </c>
      <c r="E142" s="10">
        <v>20</v>
      </c>
      <c r="F142" s="8">
        <v>11.43</v>
      </c>
      <c r="G142" s="12">
        <v>0.94050925925925921</v>
      </c>
      <c r="H142" s="8">
        <v>40</v>
      </c>
      <c r="I142" s="8">
        <v>28.5</v>
      </c>
      <c r="J142" s="8">
        <v>22</v>
      </c>
      <c r="K142" s="17">
        <f t="shared" si="6"/>
        <v>1.3123359580052494</v>
      </c>
      <c r="L142" s="17">
        <f t="shared" si="7"/>
        <v>0.93503937007874016</v>
      </c>
      <c r="M142" s="17">
        <f t="shared" si="8"/>
        <v>0.72178477690288712</v>
      </c>
      <c r="N142">
        <v>5</v>
      </c>
    </row>
    <row r="143" spans="1:14" x14ac:dyDescent="0.3">
      <c r="A143" s="7" t="s">
        <v>196</v>
      </c>
      <c r="B143" s="8" t="s">
        <v>194</v>
      </c>
      <c r="C143" s="9">
        <v>400935012</v>
      </c>
      <c r="D143" s="9">
        <v>400935012</v>
      </c>
      <c r="E143" s="10">
        <v>24</v>
      </c>
      <c r="F143" s="8">
        <v>2.9</v>
      </c>
      <c r="G143" s="12">
        <v>0.25975000000000004</v>
      </c>
      <c r="H143" s="8">
        <v>24</v>
      </c>
      <c r="I143" s="8">
        <v>17</v>
      </c>
      <c r="J143" s="8">
        <v>19.5</v>
      </c>
      <c r="K143" s="17">
        <f t="shared" si="6"/>
        <v>0.78740157480314954</v>
      </c>
      <c r="L143" s="17">
        <f t="shared" si="7"/>
        <v>0.55774278215223094</v>
      </c>
      <c r="M143" s="17">
        <f t="shared" si="8"/>
        <v>0.63976377952755903</v>
      </c>
      <c r="N143">
        <v>5</v>
      </c>
    </row>
    <row r="144" spans="1:14" x14ac:dyDescent="0.3">
      <c r="A144" s="7" t="s">
        <v>197</v>
      </c>
      <c r="B144" s="8" t="s">
        <v>194</v>
      </c>
      <c r="C144" s="9">
        <v>400935010</v>
      </c>
      <c r="D144" s="9">
        <v>400935010</v>
      </c>
      <c r="E144" s="10">
        <v>24</v>
      </c>
      <c r="F144" s="8">
        <v>6.29</v>
      </c>
      <c r="G144" s="12">
        <v>0.78949999999999998</v>
      </c>
      <c r="H144" s="8">
        <v>35</v>
      </c>
      <c r="I144" s="8">
        <v>24.5</v>
      </c>
      <c r="J144" s="8">
        <v>23.5</v>
      </c>
      <c r="K144" s="17">
        <f t="shared" si="6"/>
        <v>1.1482939632545932</v>
      </c>
      <c r="L144" s="17">
        <f t="shared" si="7"/>
        <v>0.8038057742782152</v>
      </c>
      <c r="M144" s="17">
        <f t="shared" si="8"/>
        <v>0.77099737532808399</v>
      </c>
      <c r="N144">
        <v>5</v>
      </c>
    </row>
    <row r="145" spans="1:14" x14ac:dyDescent="0.3">
      <c r="A145" s="7" t="s">
        <v>198</v>
      </c>
      <c r="B145" s="8" t="s">
        <v>194</v>
      </c>
      <c r="C145" s="9">
        <v>400935013</v>
      </c>
      <c r="D145" s="9">
        <v>400935013</v>
      </c>
      <c r="E145" s="10">
        <v>24</v>
      </c>
      <c r="F145" s="8">
        <v>13</v>
      </c>
      <c r="G145" s="12">
        <v>1.2489583333333332</v>
      </c>
      <c r="H145" s="8">
        <v>43.5</v>
      </c>
      <c r="I145" s="8">
        <v>29.5</v>
      </c>
      <c r="J145" s="8">
        <v>28.5</v>
      </c>
      <c r="K145" s="17">
        <f t="shared" si="6"/>
        <v>1.4271653543307086</v>
      </c>
      <c r="L145" s="17">
        <f t="shared" si="7"/>
        <v>0.96784776902887137</v>
      </c>
      <c r="M145" s="17">
        <f t="shared" si="8"/>
        <v>0.93503937007874016</v>
      </c>
      <c r="N145">
        <v>5</v>
      </c>
    </row>
    <row r="146" spans="1:14" x14ac:dyDescent="0.3">
      <c r="A146" s="21" t="s">
        <v>199</v>
      </c>
      <c r="B146" s="8" t="s">
        <v>194</v>
      </c>
      <c r="C146" s="9">
        <v>400935018</v>
      </c>
      <c r="D146" s="9">
        <v>400935018</v>
      </c>
      <c r="E146" s="10">
        <v>24</v>
      </c>
      <c r="F146" s="8">
        <v>16.07</v>
      </c>
      <c r="G146" s="12">
        <v>1.5618055555555554</v>
      </c>
      <c r="H146" s="8">
        <v>48.5</v>
      </c>
      <c r="I146" s="8">
        <v>34</v>
      </c>
      <c r="J146" s="8">
        <v>26.5</v>
      </c>
      <c r="K146" s="17">
        <f t="shared" si="6"/>
        <v>1.5912073490813647</v>
      </c>
      <c r="L146" s="17">
        <f t="shared" si="7"/>
        <v>1.1154855643044619</v>
      </c>
      <c r="M146" s="17">
        <f t="shared" si="8"/>
        <v>0.86942257217847763</v>
      </c>
      <c r="N146">
        <v>5</v>
      </c>
    </row>
    <row r="147" spans="1:14" x14ac:dyDescent="0.3">
      <c r="A147" s="7" t="s">
        <v>200</v>
      </c>
      <c r="B147" s="8" t="s">
        <v>194</v>
      </c>
      <c r="C147" s="9">
        <v>400935016</v>
      </c>
      <c r="D147" s="9">
        <v>400935016</v>
      </c>
      <c r="E147" s="10">
        <v>20</v>
      </c>
      <c r="F147" s="8">
        <v>11.05</v>
      </c>
      <c r="G147" s="11">
        <v>0.97229166666666678</v>
      </c>
      <c r="H147" s="8">
        <v>40.5</v>
      </c>
      <c r="I147" s="8">
        <v>33.5</v>
      </c>
      <c r="J147" s="8">
        <v>21</v>
      </c>
      <c r="K147" s="17">
        <f t="shared" si="6"/>
        <v>1.328740157480315</v>
      </c>
      <c r="L147" s="17">
        <f t="shared" si="7"/>
        <v>1.0990813648293962</v>
      </c>
      <c r="M147" s="17">
        <f t="shared" si="8"/>
        <v>0.6889763779527559</v>
      </c>
      <c r="N147">
        <v>5</v>
      </c>
    </row>
    <row r="148" spans="1:14" x14ac:dyDescent="0.3">
      <c r="A148" s="7" t="s">
        <v>201</v>
      </c>
      <c r="B148" s="8" t="s">
        <v>194</v>
      </c>
      <c r="C148" s="9">
        <v>400935009</v>
      </c>
      <c r="D148" s="9">
        <v>400935009</v>
      </c>
      <c r="E148" s="10">
        <v>120</v>
      </c>
      <c r="F148" s="8">
        <v>13.37</v>
      </c>
      <c r="G148" s="11">
        <v>0.85722222222222211</v>
      </c>
      <c r="H148" s="8">
        <v>47</v>
      </c>
      <c r="I148" s="8">
        <v>40</v>
      </c>
      <c r="J148" s="8">
        <v>16.5</v>
      </c>
      <c r="K148" s="17">
        <f t="shared" si="6"/>
        <v>1.541994750656168</v>
      </c>
      <c r="L148" s="17">
        <f t="shared" si="7"/>
        <v>1.3123359580052494</v>
      </c>
      <c r="M148" s="17">
        <f t="shared" si="8"/>
        <v>0.54133858267716539</v>
      </c>
      <c r="N148">
        <v>5</v>
      </c>
    </row>
    <row r="149" spans="1:14" x14ac:dyDescent="0.3">
      <c r="A149" s="7" t="s">
        <v>202</v>
      </c>
      <c r="B149" s="8" t="s">
        <v>194</v>
      </c>
      <c r="C149" s="9">
        <v>400935006</v>
      </c>
      <c r="D149" s="9">
        <v>400935006</v>
      </c>
      <c r="E149" s="10">
        <v>48</v>
      </c>
      <c r="F149" s="8">
        <v>14.8</v>
      </c>
      <c r="G149" s="11">
        <v>1.0933333333333333</v>
      </c>
      <c r="H149" s="8">
        <v>45</v>
      </c>
      <c r="I149" s="8">
        <v>44</v>
      </c>
      <c r="J149" s="8">
        <v>15.2</v>
      </c>
      <c r="K149" s="17">
        <f t="shared" si="6"/>
        <v>1.4763779527559056</v>
      </c>
      <c r="L149" s="17">
        <f t="shared" si="7"/>
        <v>1.4435695538057742</v>
      </c>
      <c r="M149" s="17">
        <f t="shared" si="8"/>
        <v>0.49868766404199472</v>
      </c>
      <c r="N149">
        <v>5</v>
      </c>
    </row>
    <row r="150" spans="1:14" x14ac:dyDescent="0.3">
      <c r="A150" s="7" t="s">
        <v>203</v>
      </c>
      <c r="B150" s="8" t="s">
        <v>194</v>
      </c>
      <c r="C150" s="9">
        <v>400935007</v>
      </c>
      <c r="D150" s="9">
        <v>400935007</v>
      </c>
      <c r="E150" s="10">
        <v>24</v>
      </c>
      <c r="F150" s="8">
        <v>12.54</v>
      </c>
      <c r="G150" s="12">
        <v>0.99990277777777781</v>
      </c>
      <c r="H150" s="8">
        <v>47.5</v>
      </c>
      <c r="I150" s="8">
        <v>32.5</v>
      </c>
      <c r="J150" s="8">
        <v>21.5</v>
      </c>
      <c r="K150" s="17">
        <f t="shared" si="6"/>
        <v>1.5583989501312336</v>
      </c>
      <c r="L150" s="17">
        <f t="shared" si="7"/>
        <v>1.0662729658792651</v>
      </c>
      <c r="M150" s="17">
        <f t="shared" si="8"/>
        <v>0.70538057742782156</v>
      </c>
      <c r="N150">
        <v>5</v>
      </c>
    </row>
    <row r="151" spans="1:14" x14ac:dyDescent="0.3">
      <c r="A151" s="7" t="s">
        <v>204</v>
      </c>
      <c r="B151" s="8" t="s">
        <v>194</v>
      </c>
      <c r="C151" s="9">
        <v>400935008</v>
      </c>
      <c r="D151" s="9">
        <v>400935008</v>
      </c>
      <c r="E151" s="10">
        <v>240</v>
      </c>
      <c r="F151" s="8">
        <v>15.82</v>
      </c>
      <c r="G151" s="11">
        <v>1.3609722222222222</v>
      </c>
      <c r="H151" s="8">
        <v>44</v>
      </c>
      <c r="I151" s="8">
        <v>38.5</v>
      </c>
      <c r="J151" s="8">
        <v>24.5</v>
      </c>
      <c r="K151" s="17">
        <f t="shared" si="6"/>
        <v>1.4435695538057742</v>
      </c>
      <c r="L151" s="17">
        <f t="shared" si="7"/>
        <v>1.2631233595800524</v>
      </c>
      <c r="M151" s="17">
        <f t="shared" si="8"/>
        <v>0.8038057742782152</v>
      </c>
      <c r="N151">
        <v>5</v>
      </c>
    </row>
    <row r="152" spans="1:14" x14ac:dyDescent="0.3">
      <c r="A152" s="7" t="s">
        <v>205</v>
      </c>
      <c r="B152" s="8" t="s">
        <v>194</v>
      </c>
      <c r="C152" s="9">
        <v>400935014</v>
      </c>
      <c r="D152" s="9">
        <v>400935014</v>
      </c>
      <c r="E152" s="10">
        <v>60</v>
      </c>
      <c r="F152" s="8">
        <v>2.42</v>
      </c>
      <c r="G152" s="11">
        <v>0.64895833333333341</v>
      </c>
      <c r="H152" s="8">
        <v>41</v>
      </c>
      <c r="I152" s="8">
        <v>28.5</v>
      </c>
      <c r="J152" s="8">
        <v>17</v>
      </c>
      <c r="K152" s="17">
        <f t="shared" si="6"/>
        <v>1.3451443569553805</v>
      </c>
      <c r="L152" s="17">
        <f t="shared" si="7"/>
        <v>0.93503937007874016</v>
      </c>
      <c r="M152" s="17">
        <f t="shared" si="8"/>
        <v>0.55774278215223094</v>
      </c>
      <c r="N152">
        <v>5</v>
      </c>
    </row>
    <row r="153" spans="1:14" x14ac:dyDescent="0.3">
      <c r="A153" s="7" t="s">
        <v>206</v>
      </c>
      <c r="B153" s="8" t="s">
        <v>194</v>
      </c>
      <c r="C153" s="9">
        <v>400935020</v>
      </c>
      <c r="D153" s="9">
        <v>400935020</v>
      </c>
      <c r="E153" s="10">
        <v>24</v>
      </c>
      <c r="F153" s="8">
        <v>1.4</v>
      </c>
      <c r="G153" s="12">
        <v>0.75100000000000011</v>
      </c>
      <c r="H153" s="8">
        <v>49</v>
      </c>
      <c r="I153" s="8">
        <v>28.5</v>
      </c>
      <c r="J153" s="8">
        <v>15.5</v>
      </c>
      <c r="K153" s="17">
        <f t="shared" si="6"/>
        <v>1.6076115485564304</v>
      </c>
      <c r="L153" s="17">
        <f t="shared" si="7"/>
        <v>0.93503937007874016</v>
      </c>
      <c r="M153" s="17">
        <f t="shared" si="8"/>
        <v>0.50853018372703407</v>
      </c>
      <c r="N153">
        <v>5</v>
      </c>
    </row>
    <row r="154" spans="1:14" x14ac:dyDescent="0.3">
      <c r="A154" s="7" t="s">
        <v>207</v>
      </c>
      <c r="B154" s="8" t="s">
        <v>194</v>
      </c>
      <c r="C154" s="9">
        <v>400935021</v>
      </c>
      <c r="D154" s="9">
        <v>400935021</v>
      </c>
      <c r="E154" s="10">
        <v>24</v>
      </c>
      <c r="F154" s="8">
        <v>1.48</v>
      </c>
      <c r="G154" s="12">
        <v>0.75100000000000011</v>
      </c>
      <c r="H154" s="8">
        <v>49</v>
      </c>
      <c r="I154" s="8">
        <v>25.5</v>
      </c>
      <c r="J154" s="8">
        <v>15.5</v>
      </c>
      <c r="K154" s="17">
        <f t="shared" si="6"/>
        <v>1.6076115485564304</v>
      </c>
      <c r="L154" s="17">
        <f t="shared" si="7"/>
        <v>0.83661417322834641</v>
      </c>
      <c r="M154" s="17">
        <f t="shared" si="8"/>
        <v>0.50853018372703407</v>
      </c>
      <c r="N154">
        <v>5</v>
      </c>
    </row>
    <row r="155" spans="1:14" x14ac:dyDescent="0.3">
      <c r="A155" s="13" t="s">
        <v>208</v>
      </c>
      <c r="B155" s="8" t="s">
        <v>194</v>
      </c>
      <c r="C155" s="10">
        <v>400935088</v>
      </c>
      <c r="D155" s="9">
        <v>400935088</v>
      </c>
      <c r="E155" s="10">
        <v>24</v>
      </c>
      <c r="F155" s="8">
        <v>16.899999999999999</v>
      </c>
      <c r="G155" s="11">
        <v>5.22</v>
      </c>
      <c r="H155" s="8">
        <v>52.5</v>
      </c>
      <c r="I155" s="8">
        <v>50.5</v>
      </c>
      <c r="J155" s="8">
        <v>57</v>
      </c>
      <c r="K155" s="17">
        <f t="shared" si="6"/>
        <v>1.7224409448818898</v>
      </c>
      <c r="L155" s="17">
        <f t="shared" si="7"/>
        <v>1.6568241469816272</v>
      </c>
      <c r="M155" s="17">
        <f t="shared" si="8"/>
        <v>1.8700787401574803</v>
      </c>
      <c r="N155">
        <v>5</v>
      </c>
    </row>
    <row r="156" spans="1:14" x14ac:dyDescent="0.3">
      <c r="A156" s="13" t="s">
        <v>209</v>
      </c>
      <c r="B156" s="8" t="s">
        <v>194</v>
      </c>
      <c r="C156" s="10">
        <v>400935068</v>
      </c>
      <c r="D156" s="9">
        <v>400935068</v>
      </c>
      <c r="E156" s="10">
        <v>36</v>
      </c>
      <c r="F156" s="8">
        <v>13.8</v>
      </c>
      <c r="G156" s="11">
        <v>1.0308541666666666</v>
      </c>
      <c r="H156" s="8">
        <v>48</v>
      </c>
      <c r="I156" s="8">
        <v>48</v>
      </c>
      <c r="J156" s="8">
        <v>16.5</v>
      </c>
      <c r="K156" s="17">
        <f t="shared" si="6"/>
        <v>1.5748031496062991</v>
      </c>
      <c r="L156" s="17">
        <f t="shared" si="7"/>
        <v>1.5748031496062991</v>
      </c>
      <c r="M156" s="17">
        <f t="shared" si="8"/>
        <v>0.54133858267716539</v>
      </c>
      <c r="N156">
        <v>5</v>
      </c>
    </row>
    <row r="157" spans="1:14" x14ac:dyDescent="0.3">
      <c r="A157" s="13" t="s">
        <v>210</v>
      </c>
      <c r="B157" s="8" t="s">
        <v>194</v>
      </c>
      <c r="C157" s="10">
        <v>400935087</v>
      </c>
      <c r="D157" s="9">
        <v>400935087</v>
      </c>
      <c r="E157" s="10">
        <v>24</v>
      </c>
      <c r="F157" s="8">
        <v>19.7</v>
      </c>
      <c r="G157" s="11">
        <v>4.6922916666666667</v>
      </c>
      <c r="H157" s="8">
        <v>54.5</v>
      </c>
      <c r="I157" s="8">
        <v>50.5</v>
      </c>
      <c r="J157" s="8">
        <v>55</v>
      </c>
      <c r="K157" s="17">
        <f t="shared" si="6"/>
        <v>1.7880577427821522</v>
      </c>
      <c r="L157" s="17">
        <f t="shared" si="7"/>
        <v>1.6568241469816272</v>
      </c>
      <c r="M157" s="17">
        <f t="shared" si="8"/>
        <v>1.8044619422572179</v>
      </c>
      <c r="N157">
        <v>5</v>
      </c>
    </row>
    <row r="158" spans="1:14" x14ac:dyDescent="0.3">
      <c r="A158" s="7" t="s">
        <v>211</v>
      </c>
      <c r="B158" s="8" t="s">
        <v>194</v>
      </c>
      <c r="C158" s="9">
        <v>401179364</v>
      </c>
      <c r="D158" s="9">
        <v>401179364</v>
      </c>
      <c r="E158" s="10">
        <v>8</v>
      </c>
      <c r="F158" s="8">
        <v>16.7</v>
      </c>
      <c r="G158" s="11">
        <v>5.2839283822438814</v>
      </c>
      <c r="H158" s="8">
        <v>63</v>
      </c>
      <c r="I158" s="8">
        <v>38</v>
      </c>
      <c r="J158" s="8">
        <v>64</v>
      </c>
      <c r="K158" s="17">
        <f t="shared" si="6"/>
        <v>2.0669291338582676</v>
      </c>
      <c r="L158" s="17">
        <f t="shared" si="7"/>
        <v>1.246719160104987</v>
      </c>
      <c r="M158" s="17">
        <f t="shared" si="8"/>
        <v>2.0997375328083989</v>
      </c>
      <c r="N158">
        <v>5</v>
      </c>
    </row>
    <row r="159" spans="1:14" x14ac:dyDescent="0.3">
      <c r="A159" s="13" t="s">
        <v>212</v>
      </c>
      <c r="B159" s="8" t="s">
        <v>194</v>
      </c>
      <c r="C159" s="10">
        <v>401179387</v>
      </c>
      <c r="D159" s="9">
        <v>401179387</v>
      </c>
      <c r="E159" s="10">
        <v>15</v>
      </c>
      <c r="F159" s="8">
        <v>21.65</v>
      </c>
      <c r="G159" s="11">
        <v>5.7425607638888891</v>
      </c>
      <c r="H159" s="8">
        <v>64.5</v>
      </c>
      <c r="I159" s="8">
        <v>36</v>
      </c>
      <c r="J159" s="8">
        <v>61.5</v>
      </c>
      <c r="K159" s="17">
        <f t="shared" si="6"/>
        <v>2.1161417322834644</v>
      </c>
      <c r="L159" s="17">
        <f t="shared" si="7"/>
        <v>1.1811023622047243</v>
      </c>
      <c r="M159" s="17">
        <f t="shared" si="8"/>
        <v>2.0177165354330708</v>
      </c>
      <c r="N159">
        <v>5</v>
      </c>
    </row>
    <row r="160" spans="1:14" x14ac:dyDescent="0.3">
      <c r="A160" s="13" t="s">
        <v>213</v>
      </c>
      <c r="B160" s="8" t="s">
        <v>194</v>
      </c>
      <c r="C160" s="10">
        <v>400935067</v>
      </c>
      <c r="D160" s="9">
        <v>400935067</v>
      </c>
      <c r="E160" s="10">
        <v>20</v>
      </c>
      <c r="F160" s="8">
        <v>14.05</v>
      </c>
      <c r="G160" s="11">
        <v>4.6922916666666667</v>
      </c>
      <c r="H160" s="8">
        <v>57.5</v>
      </c>
      <c r="I160" s="8">
        <v>53.5</v>
      </c>
      <c r="J160" s="8">
        <v>47</v>
      </c>
      <c r="K160" s="17">
        <f t="shared" si="6"/>
        <v>1.886482939632546</v>
      </c>
      <c r="L160" s="17">
        <f t="shared" si="7"/>
        <v>1.7552493438320209</v>
      </c>
      <c r="M160" s="17">
        <f t="shared" si="8"/>
        <v>1.541994750656168</v>
      </c>
      <c r="N160">
        <v>5</v>
      </c>
    </row>
    <row r="161" spans="1:14" x14ac:dyDescent="0.3">
      <c r="A161" s="7" t="s">
        <v>214</v>
      </c>
      <c r="B161" s="8" t="s">
        <v>194</v>
      </c>
      <c r="C161" s="9">
        <v>401179371</v>
      </c>
      <c r="D161" s="9">
        <v>401179371</v>
      </c>
      <c r="E161" s="10">
        <v>24</v>
      </c>
      <c r="F161" s="8">
        <v>16.5</v>
      </c>
      <c r="G161" s="11">
        <v>5.2034113783239739</v>
      </c>
      <c r="H161" s="8">
        <v>57.5</v>
      </c>
      <c r="I161" s="8">
        <v>48</v>
      </c>
      <c r="J161" s="8">
        <v>55.5</v>
      </c>
      <c r="K161" s="17">
        <f t="shared" si="6"/>
        <v>1.886482939632546</v>
      </c>
      <c r="L161" s="17">
        <f t="shared" si="7"/>
        <v>1.5748031496062991</v>
      </c>
      <c r="M161" s="17">
        <f t="shared" si="8"/>
        <v>1.8208661417322833</v>
      </c>
      <c r="N161">
        <v>5</v>
      </c>
    </row>
    <row r="162" spans="1:14" x14ac:dyDescent="0.3">
      <c r="A162" s="13" t="s">
        <v>215</v>
      </c>
      <c r="B162" s="8" t="s">
        <v>194</v>
      </c>
      <c r="C162" s="10">
        <v>400935104</v>
      </c>
      <c r="D162" s="9">
        <v>400935104</v>
      </c>
      <c r="E162" s="10">
        <v>40</v>
      </c>
      <c r="F162" s="8">
        <v>8.14</v>
      </c>
      <c r="G162" s="11">
        <v>2.5338194444444446</v>
      </c>
      <c r="H162" s="8">
        <v>47.5</v>
      </c>
      <c r="I162" s="8">
        <v>38</v>
      </c>
      <c r="J162" s="8">
        <v>41.5</v>
      </c>
      <c r="K162" s="17">
        <f t="shared" si="6"/>
        <v>1.5583989501312336</v>
      </c>
      <c r="L162" s="17">
        <f t="shared" si="7"/>
        <v>1.246719160104987</v>
      </c>
      <c r="M162" s="17">
        <f t="shared" si="8"/>
        <v>1.3615485564304461</v>
      </c>
      <c r="N162">
        <v>5</v>
      </c>
    </row>
    <row r="163" spans="1:14" x14ac:dyDescent="0.3">
      <c r="A163" s="13" t="s">
        <v>216</v>
      </c>
      <c r="B163" s="8" t="s">
        <v>194</v>
      </c>
      <c r="C163" s="10">
        <v>400935106</v>
      </c>
      <c r="D163" s="9">
        <v>400935106</v>
      </c>
      <c r="E163" s="10">
        <v>40</v>
      </c>
      <c r="F163" s="8">
        <v>8.15</v>
      </c>
      <c r="G163" s="11">
        <v>2.5338194444444446</v>
      </c>
      <c r="H163" s="8">
        <v>47.5</v>
      </c>
      <c r="I163" s="8">
        <v>38</v>
      </c>
      <c r="J163" s="8">
        <v>41.5</v>
      </c>
      <c r="K163" s="17">
        <f t="shared" si="6"/>
        <v>1.5583989501312336</v>
      </c>
      <c r="L163" s="17">
        <f t="shared" si="7"/>
        <v>1.246719160104987</v>
      </c>
      <c r="M163" s="17">
        <f t="shared" si="8"/>
        <v>1.3615485564304461</v>
      </c>
    </row>
    <row r="164" spans="1:14" x14ac:dyDescent="0.3">
      <c r="A164" s="24" t="s">
        <v>217</v>
      </c>
      <c r="B164" s="25" t="s">
        <v>76</v>
      </c>
      <c r="C164" s="26">
        <v>401179337</v>
      </c>
      <c r="D164" s="9">
        <v>401179337</v>
      </c>
      <c r="E164" s="27">
        <v>24</v>
      </c>
      <c r="F164" s="25">
        <v>16.55</v>
      </c>
      <c r="G164" s="28">
        <v>1.1403749999999999</v>
      </c>
      <c r="H164" s="25">
        <v>36</v>
      </c>
      <c r="I164" s="25">
        <v>32.5</v>
      </c>
      <c r="J164" s="25">
        <v>27.6</v>
      </c>
      <c r="K164" s="17">
        <f t="shared" si="6"/>
        <v>1.1811023622047243</v>
      </c>
      <c r="L164" s="17">
        <f t="shared" si="7"/>
        <v>1.0662729658792651</v>
      </c>
      <c r="M164" s="17">
        <f t="shared" si="8"/>
        <v>0.9055118110236221</v>
      </c>
    </row>
    <row r="165" spans="1:14" x14ac:dyDescent="0.3">
      <c r="A165" s="29" t="s">
        <v>217</v>
      </c>
      <c r="B165" s="8" t="s">
        <v>76</v>
      </c>
      <c r="C165" s="30">
        <v>401179337</v>
      </c>
      <c r="D165" s="9">
        <v>401179337</v>
      </c>
      <c r="E165" s="31">
        <v>24</v>
      </c>
      <c r="F165" s="8">
        <v>16.55</v>
      </c>
      <c r="G165" s="32">
        <v>1.1403749999999999</v>
      </c>
      <c r="H165" s="8">
        <v>37.5</v>
      </c>
      <c r="I165" s="8">
        <v>35</v>
      </c>
      <c r="J165" s="8">
        <v>28</v>
      </c>
      <c r="K165" s="17">
        <f t="shared" si="6"/>
        <v>1.2303149606299213</v>
      </c>
      <c r="L165" s="17">
        <f t="shared" si="7"/>
        <v>1.1482939632545932</v>
      </c>
      <c r="M165" s="17">
        <f t="shared" si="8"/>
        <v>0.9186351706036745</v>
      </c>
    </row>
    <row r="166" spans="1:14" x14ac:dyDescent="0.3">
      <c r="A166" s="33" t="s">
        <v>218</v>
      </c>
      <c r="B166" s="8" t="s">
        <v>11</v>
      </c>
      <c r="C166" s="34">
        <v>401353007</v>
      </c>
      <c r="D166" s="9">
        <v>401353007</v>
      </c>
      <c r="E166" s="31">
        <v>50</v>
      </c>
      <c r="F166" s="8">
        <v>12.45</v>
      </c>
      <c r="G166" s="35">
        <v>0.96336805555555549</v>
      </c>
      <c r="H166" s="8">
        <v>27</v>
      </c>
      <c r="I166" s="8">
        <v>28</v>
      </c>
      <c r="J166" s="8">
        <v>26.2</v>
      </c>
      <c r="K166" s="17">
        <f t="shared" si="6"/>
        <v>0.88582677165354329</v>
      </c>
      <c r="L166" s="17">
        <f t="shared" si="7"/>
        <v>0.9186351706036745</v>
      </c>
      <c r="M166" s="17">
        <f t="shared" si="8"/>
        <v>0.85958005249343827</v>
      </c>
    </row>
    <row r="167" spans="1:14" x14ac:dyDescent="0.3">
      <c r="A167" s="33" t="s">
        <v>219</v>
      </c>
      <c r="B167" s="8" t="s">
        <v>220</v>
      </c>
      <c r="C167" s="34">
        <v>401377001</v>
      </c>
      <c r="D167" s="9">
        <v>401377001</v>
      </c>
      <c r="E167" s="31">
        <v>42</v>
      </c>
      <c r="F167" s="8">
        <v>14.3</v>
      </c>
      <c r="G167" s="32">
        <v>1.234594060105237</v>
      </c>
      <c r="H167" s="8">
        <v>45.5</v>
      </c>
      <c r="I167" s="8">
        <v>38.5</v>
      </c>
      <c r="J167" s="8">
        <v>18</v>
      </c>
      <c r="K167" s="17">
        <f t="shared" si="6"/>
        <v>1.4927821522309712</v>
      </c>
      <c r="L167" s="17">
        <f t="shared" si="7"/>
        <v>1.2631233595800524</v>
      </c>
      <c r="M167" s="17">
        <f t="shared" si="8"/>
        <v>0.59055118110236215</v>
      </c>
    </row>
    <row r="168" spans="1:14" x14ac:dyDescent="0.3">
      <c r="A168" s="29" t="s">
        <v>221</v>
      </c>
      <c r="B168" s="8" t="s">
        <v>15</v>
      </c>
      <c r="C168" s="30">
        <v>400015007</v>
      </c>
      <c r="D168" s="9">
        <v>400015007</v>
      </c>
      <c r="E168" s="31">
        <v>840</v>
      </c>
      <c r="F168" s="8">
        <v>16</v>
      </c>
      <c r="G168" s="35">
        <v>2.5627052653882827</v>
      </c>
      <c r="H168" s="8">
        <v>61</v>
      </c>
      <c r="I168" s="8">
        <v>59</v>
      </c>
      <c r="J168" s="8">
        <v>25.5</v>
      </c>
      <c r="K168" s="17">
        <f t="shared" si="6"/>
        <v>2.0013123359580054</v>
      </c>
      <c r="L168" s="17">
        <f t="shared" si="7"/>
        <v>1.9356955380577427</v>
      </c>
      <c r="M168" s="17">
        <f t="shared" si="8"/>
        <v>0.83661417322834641</v>
      </c>
    </row>
    <row r="169" spans="1:14" x14ac:dyDescent="0.3">
      <c r="A169" s="29" t="s">
        <v>222</v>
      </c>
      <c r="B169" s="8" t="s">
        <v>17</v>
      </c>
      <c r="C169" s="30">
        <v>400016002</v>
      </c>
      <c r="D169" s="9">
        <v>400016002</v>
      </c>
      <c r="E169" s="31">
        <v>240</v>
      </c>
      <c r="F169" s="8">
        <v>1.55</v>
      </c>
      <c r="G169" s="32">
        <v>0.20282515803227741</v>
      </c>
      <c r="H169" s="8">
        <v>27.5</v>
      </c>
      <c r="I169" s="8">
        <v>24</v>
      </c>
      <c r="J169" s="8">
        <v>13.2</v>
      </c>
      <c r="K169" s="17">
        <f t="shared" si="6"/>
        <v>0.90223097112860895</v>
      </c>
      <c r="L169" s="17">
        <f t="shared" si="7"/>
        <v>0.78740157480314954</v>
      </c>
      <c r="M169" s="17">
        <f t="shared" si="8"/>
        <v>0.43307086614173224</v>
      </c>
    </row>
    <row r="170" spans="1:14" x14ac:dyDescent="0.3">
      <c r="A170" s="29" t="s">
        <v>223</v>
      </c>
      <c r="B170" s="8" t="s">
        <v>224</v>
      </c>
      <c r="C170" s="30">
        <v>401427002</v>
      </c>
      <c r="D170" s="9">
        <v>401427002</v>
      </c>
      <c r="E170" s="31">
        <v>72</v>
      </c>
      <c r="F170" s="8">
        <v>11</v>
      </c>
      <c r="G170" s="32">
        <v>0.77900000000000014</v>
      </c>
      <c r="H170" s="8">
        <v>44</v>
      </c>
      <c r="I170" s="8">
        <v>39.5</v>
      </c>
      <c r="J170" s="8">
        <v>14.9</v>
      </c>
      <c r="K170" s="17">
        <f t="shared" si="6"/>
        <v>1.4435695538057742</v>
      </c>
      <c r="L170" s="17">
        <f t="shared" si="7"/>
        <v>1.2959317585301837</v>
      </c>
      <c r="M170" s="17">
        <f t="shared" si="8"/>
        <v>0.48884514435695536</v>
      </c>
    </row>
    <row r="171" spans="1:14" x14ac:dyDescent="0.3">
      <c r="A171" s="29" t="s">
        <v>225</v>
      </c>
      <c r="B171" s="8" t="s">
        <v>224</v>
      </c>
      <c r="C171" s="30">
        <v>401427001</v>
      </c>
      <c r="D171" s="9">
        <v>401427001</v>
      </c>
      <c r="E171" s="31">
        <v>100</v>
      </c>
      <c r="F171" s="8">
        <v>8.15</v>
      </c>
      <c r="G171" s="32">
        <v>0.72662037037037031</v>
      </c>
      <c r="H171" s="8">
        <v>44.2</v>
      </c>
      <c r="I171" s="8">
        <v>22.9</v>
      </c>
      <c r="J171" s="8">
        <v>23</v>
      </c>
      <c r="K171" s="17">
        <f t="shared" si="6"/>
        <v>1.4501312335958005</v>
      </c>
      <c r="L171" s="17">
        <f t="shared" si="7"/>
        <v>0.75131233595800517</v>
      </c>
      <c r="M171" s="17">
        <f t="shared" si="8"/>
        <v>0.75459317585301833</v>
      </c>
    </row>
    <row r="172" spans="1:14" x14ac:dyDescent="0.3">
      <c r="A172" s="29" t="s">
        <v>226</v>
      </c>
      <c r="B172" s="8" t="s">
        <v>224</v>
      </c>
      <c r="C172" s="30">
        <v>401427003</v>
      </c>
      <c r="D172" s="9">
        <v>401427003</v>
      </c>
      <c r="E172" s="31">
        <v>24</v>
      </c>
      <c r="F172" s="8">
        <v>7.15</v>
      </c>
      <c r="G172" s="32">
        <v>0.65423611111111102</v>
      </c>
      <c r="H172" s="8">
        <v>36</v>
      </c>
      <c r="I172" s="8">
        <v>29</v>
      </c>
      <c r="J172" s="8">
        <v>20</v>
      </c>
      <c r="K172" s="17">
        <f t="shared" si="6"/>
        <v>1.1811023622047243</v>
      </c>
      <c r="L172" s="17">
        <f t="shared" si="7"/>
        <v>0.95144356955380571</v>
      </c>
      <c r="M172" s="17">
        <f t="shared" si="8"/>
        <v>0.65616797900262469</v>
      </c>
    </row>
    <row r="173" spans="1:14" x14ac:dyDescent="0.3">
      <c r="A173" s="33" t="s">
        <v>227</v>
      </c>
      <c r="B173" s="8" t="s">
        <v>228</v>
      </c>
      <c r="C173" s="34">
        <v>401114016</v>
      </c>
      <c r="D173" s="9" t="s">
        <v>229</v>
      </c>
      <c r="E173" s="31">
        <v>80</v>
      </c>
      <c r="F173" s="8">
        <v>13.3</v>
      </c>
      <c r="G173" s="32">
        <v>1.0464032206801568</v>
      </c>
      <c r="H173" s="8">
        <v>41.6</v>
      </c>
      <c r="I173" s="8">
        <v>26.5</v>
      </c>
      <c r="J173" s="8">
        <v>25.2</v>
      </c>
      <c r="K173" s="17">
        <f t="shared" si="6"/>
        <v>1.3648293963254594</v>
      </c>
      <c r="L173" s="17">
        <f t="shared" si="7"/>
        <v>0.86942257217847763</v>
      </c>
      <c r="M173" s="17">
        <f t="shared" si="8"/>
        <v>0.82677165354330706</v>
      </c>
    </row>
    <row r="174" spans="1:14" x14ac:dyDescent="0.3">
      <c r="A174" s="33" t="s">
        <v>230</v>
      </c>
      <c r="B174" s="8" t="s">
        <v>228</v>
      </c>
      <c r="C174" s="34">
        <v>401114015</v>
      </c>
      <c r="D174" s="9" t="s">
        <v>231</v>
      </c>
      <c r="E174" s="31">
        <v>160</v>
      </c>
      <c r="F174" s="8">
        <v>14.9</v>
      </c>
      <c r="G174" s="32">
        <v>1.176851851851852</v>
      </c>
      <c r="H174" s="8">
        <v>45</v>
      </c>
      <c r="I174" s="8">
        <v>36.5</v>
      </c>
      <c r="J174" s="8">
        <v>23</v>
      </c>
      <c r="K174" s="17">
        <f t="shared" si="6"/>
        <v>1.4763779527559056</v>
      </c>
      <c r="L174" s="17">
        <f t="shared" si="7"/>
        <v>1.19750656167979</v>
      </c>
      <c r="M174" s="17">
        <f t="shared" si="8"/>
        <v>0.75459317585301833</v>
      </c>
    </row>
    <row r="175" spans="1:14" x14ac:dyDescent="0.3">
      <c r="A175" s="33" t="s">
        <v>232</v>
      </c>
      <c r="B175" s="8" t="s">
        <v>19</v>
      </c>
      <c r="C175" s="34">
        <v>401376003</v>
      </c>
      <c r="D175" s="9">
        <v>401376003</v>
      </c>
      <c r="E175" s="31">
        <v>48</v>
      </c>
      <c r="F175" s="8">
        <v>7</v>
      </c>
      <c r="G175" s="32">
        <v>0.8623333333333334</v>
      </c>
      <c r="H175" s="8">
        <v>42</v>
      </c>
      <c r="I175" s="8">
        <v>32.9</v>
      </c>
      <c r="J175" s="8">
        <v>18</v>
      </c>
      <c r="K175" s="17">
        <f t="shared" si="6"/>
        <v>1.3779527559055118</v>
      </c>
      <c r="L175" s="17">
        <f t="shared" si="7"/>
        <v>1.0793963254593175</v>
      </c>
      <c r="M175" s="17">
        <f t="shared" si="8"/>
        <v>0.59055118110236215</v>
      </c>
    </row>
    <row r="176" spans="1:14" x14ac:dyDescent="0.3">
      <c r="A176" s="33" t="s">
        <v>233</v>
      </c>
      <c r="B176" s="8" t="s">
        <v>19</v>
      </c>
      <c r="C176" s="34">
        <v>401376002</v>
      </c>
      <c r="D176" s="9">
        <v>401376002</v>
      </c>
      <c r="E176" s="31">
        <v>120</v>
      </c>
      <c r="F176" s="8">
        <v>5.45</v>
      </c>
      <c r="G176" s="35">
        <v>0.57805555555555554</v>
      </c>
      <c r="H176" s="8">
        <v>32.5</v>
      </c>
      <c r="I176" s="8">
        <v>32.5</v>
      </c>
      <c r="J176" s="8">
        <v>16</v>
      </c>
      <c r="K176" s="17">
        <f t="shared" si="6"/>
        <v>1.0662729658792651</v>
      </c>
      <c r="L176" s="17">
        <f t="shared" si="7"/>
        <v>1.0662729658792651</v>
      </c>
      <c r="M176" s="17">
        <f t="shared" si="8"/>
        <v>0.52493438320209973</v>
      </c>
    </row>
    <row r="177" spans="1:13" x14ac:dyDescent="0.3">
      <c r="A177" s="33" t="s">
        <v>234</v>
      </c>
      <c r="B177" s="8" t="s">
        <v>19</v>
      </c>
      <c r="C177" s="34">
        <v>401376004</v>
      </c>
      <c r="D177" s="9">
        <v>401376004</v>
      </c>
      <c r="E177" s="31">
        <v>300</v>
      </c>
      <c r="F177" s="8">
        <v>8</v>
      </c>
      <c r="G177" s="32">
        <v>1.0788572235759437</v>
      </c>
      <c r="H177" s="8">
        <v>37.5</v>
      </c>
      <c r="I177" s="8">
        <v>24.5</v>
      </c>
      <c r="J177" s="8">
        <v>27.2</v>
      </c>
      <c r="K177" s="17">
        <f t="shared" si="6"/>
        <v>1.2303149606299213</v>
      </c>
      <c r="L177" s="17">
        <f t="shared" si="7"/>
        <v>0.8038057742782152</v>
      </c>
      <c r="M177" s="17">
        <f t="shared" si="8"/>
        <v>0.89238845144356949</v>
      </c>
    </row>
    <row r="178" spans="1:13" x14ac:dyDescent="0.3">
      <c r="A178" s="29" t="s">
        <v>235</v>
      </c>
      <c r="B178" s="8" t="s">
        <v>22</v>
      </c>
      <c r="C178" s="30">
        <v>401179481</v>
      </c>
      <c r="D178" s="9">
        <v>401179481</v>
      </c>
      <c r="E178" s="31">
        <v>108</v>
      </c>
      <c r="F178" s="8">
        <v>8.8000000000000007</v>
      </c>
      <c r="G178" s="32">
        <v>1.8044374999999999</v>
      </c>
      <c r="H178" s="8">
        <v>36</v>
      </c>
      <c r="I178" s="8">
        <v>43</v>
      </c>
      <c r="J178" s="8">
        <v>55</v>
      </c>
      <c r="K178" s="17">
        <f t="shared" si="6"/>
        <v>1.1811023622047243</v>
      </c>
      <c r="L178" s="17">
        <f t="shared" si="7"/>
        <v>1.4107611548556431</v>
      </c>
      <c r="M178" s="17">
        <f t="shared" si="8"/>
        <v>1.8044619422572179</v>
      </c>
    </row>
    <row r="179" spans="1:13" x14ac:dyDescent="0.3">
      <c r="A179" s="33" t="s">
        <v>236</v>
      </c>
      <c r="B179" s="8" t="s">
        <v>22</v>
      </c>
      <c r="C179" s="34">
        <v>401179372</v>
      </c>
      <c r="D179" s="9">
        <v>401179372</v>
      </c>
      <c r="E179" s="31">
        <v>12</v>
      </c>
      <c r="F179" s="8">
        <v>8.3000000000000007</v>
      </c>
      <c r="G179" s="32">
        <v>2.9777361111111111</v>
      </c>
      <c r="H179" s="8">
        <v>64</v>
      </c>
      <c r="I179" s="8">
        <v>66</v>
      </c>
      <c r="J179" s="8">
        <v>23.5</v>
      </c>
      <c r="K179" s="17">
        <f t="shared" si="6"/>
        <v>2.0997375328083989</v>
      </c>
      <c r="L179" s="17">
        <f t="shared" si="7"/>
        <v>2.1653543307086616</v>
      </c>
      <c r="M179" s="17">
        <f t="shared" si="8"/>
        <v>0.77099737532808399</v>
      </c>
    </row>
    <row r="180" spans="1:13" x14ac:dyDescent="0.3">
      <c r="A180" s="29" t="s">
        <v>237</v>
      </c>
      <c r="B180" s="8" t="s">
        <v>22</v>
      </c>
      <c r="C180" s="30">
        <v>401179475</v>
      </c>
      <c r="D180" s="9">
        <v>401179475</v>
      </c>
      <c r="E180" s="31">
        <v>12</v>
      </c>
      <c r="F180" s="8">
        <v>8.3000000000000007</v>
      </c>
      <c r="G180" s="32">
        <v>2.9777361111111111</v>
      </c>
      <c r="H180" s="8">
        <v>64</v>
      </c>
      <c r="I180" s="8">
        <v>66</v>
      </c>
      <c r="J180" s="8">
        <v>23.5</v>
      </c>
      <c r="K180" s="17">
        <f t="shared" si="6"/>
        <v>2.0997375328083989</v>
      </c>
      <c r="L180" s="17">
        <f t="shared" si="7"/>
        <v>2.1653543307086616</v>
      </c>
      <c r="M180" s="17">
        <f t="shared" si="8"/>
        <v>0.77099737532808399</v>
      </c>
    </row>
    <row r="181" spans="1:13" x14ac:dyDescent="0.3">
      <c r="A181" s="36" t="s">
        <v>238</v>
      </c>
      <c r="B181" s="8" t="s">
        <v>22</v>
      </c>
      <c r="C181" s="37">
        <v>401179434</v>
      </c>
      <c r="D181" s="9">
        <v>401179434</v>
      </c>
      <c r="E181" s="31">
        <v>12</v>
      </c>
      <c r="F181" s="8">
        <v>8.3000000000000007</v>
      </c>
      <c r="G181" s="32">
        <v>2.9777361111111111</v>
      </c>
      <c r="H181" s="8">
        <v>64</v>
      </c>
      <c r="I181" s="8">
        <v>66</v>
      </c>
      <c r="J181" s="8">
        <v>23.5</v>
      </c>
      <c r="K181" s="17">
        <f t="shared" si="6"/>
        <v>2.0997375328083989</v>
      </c>
      <c r="L181" s="17">
        <f t="shared" si="7"/>
        <v>2.1653543307086616</v>
      </c>
      <c r="M181" s="17">
        <f t="shared" si="8"/>
        <v>0.77099737532808399</v>
      </c>
    </row>
    <row r="182" spans="1:13" x14ac:dyDescent="0.3">
      <c r="A182" s="29" t="s">
        <v>239</v>
      </c>
      <c r="B182" s="8" t="s">
        <v>22</v>
      </c>
      <c r="C182" s="30">
        <v>401179469</v>
      </c>
      <c r="D182" s="9">
        <v>401179469</v>
      </c>
      <c r="E182" s="31">
        <v>12</v>
      </c>
      <c r="F182" s="8">
        <v>8.3000000000000007</v>
      </c>
      <c r="G182" s="32">
        <v>2.9777361111111111</v>
      </c>
      <c r="H182" s="8">
        <v>64</v>
      </c>
      <c r="I182" s="8">
        <v>66</v>
      </c>
      <c r="J182" s="8">
        <v>23.5</v>
      </c>
      <c r="K182" s="17">
        <f t="shared" si="6"/>
        <v>2.0997375328083989</v>
      </c>
      <c r="L182" s="17">
        <f t="shared" si="7"/>
        <v>2.1653543307086616</v>
      </c>
      <c r="M182" s="17">
        <f t="shared" si="8"/>
        <v>0.77099737532808399</v>
      </c>
    </row>
    <row r="183" spans="1:13" x14ac:dyDescent="0.3">
      <c r="A183" s="29" t="s">
        <v>240</v>
      </c>
      <c r="B183" s="8" t="s">
        <v>22</v>
      </c>
      <c r="C183" s="30">
        <v>401179480</v>
      </c>
      <c r="D183" s="9">
        <v>401179480</v>
      </c>
      <c r="E183" s="31">
        <v>108</v>
      </c>
      <c r="F183" s="8">
        <v>8</v>
      </c>
      <c r="G183" s="32">
        <v>4.3</v>
      </c>
      <c r="H183" s="8">
        <v>54</v>
      </c>
      <c r="I183" s="8">
        <v>40</v>
      </c>
      <c r="J183" s="8">
        <v>54.5</v>
      </c>
      <c r="K183" s="17">
        <f t="shared" si="6"/>
        <v>1.7716535433070866</v>
      </c>
      <c r="L183" s="17">
        <f t="shared" si="7"/>
        <v>1.3123359580052494</v>
      </c>
      <c r="M183" s="17">
        <f t="shared" si="8"/>
        <v>1.7880577427821522</v>
      </c>
    </row>
    <row r="184" spans="1:13" x14ac:dyDescent="0.3">
      <c r="A184" s="33" t="s">
        <v>241</v>
      </c>
      <c r="B184" s="8" t="s">
        <v>22</v>
      </c>
      <c r="C184" s="34">
        <v>401179373</v>
      </c>
      <c r="D184" s="9">
        <v>401179373</v>
      </c>
      <c r="E184" s="31">
        <v>12</v>
      </c>
      <c r="F184" s="8">
        <v>7.5</v>
      </c>
      <c r="G184" s="32">
        <v>2.8288472222222221</v>
      </c>
      <c r="H184" s="8">
        <v>67</v>
      </c>
      <c r="I184" s="8">
        <v>61</v>
      </c>
      <c r="J184" s="8">
        <v>19.5</v>
      </c>
      <c r="K184" s="17">
        <f t="shared" si="6"/>
        <v>2.1981627296587924</v>
      </c>
      <c r="L184" s="17">
        <f t="shared" si="7"/>
        <v>2.0013123359580054</v>
      </c>
      <c r="M184" s="17">
        <f t="shared" si="8"/>
        <v>0.63976377952755903</v>
      </c>
    </row>
    <row r="185" spans="1:13" x14ac:dyDescent="0.3">
      <c r="A185" s="29" t="s">
        <v>242</v>
      </c>
      <c r="B185" s="8" t="s">
        <v>22</v>
      </c>
      <c r="C185" s="30">
        <v>401179474</v>
      </c>
      <c r="D185" s="9">
        <v>401179474</v>
      </c>
      <c r="E185" s="31">
        <v>12</v>
      </c>
      <c r="F185" s="8">
        <v>7.5</v>
      </c>
      <c r="G185" s="32">
        <v>2.8288472222222221</v>
      </c>
      <c r="H185" s="8">
        <v>67</v>
      </c>
      <c r="I185" s="8">
        <v>61</v>
      </c>
      <c r="J185" s="8">
        <v>19.5</v>
      </c>
      <c r="K185" s="17">
        <f t="shared" si="6"/>
        <v>2.1981627296587924</v>
      </c>
      <c r="L185" s="17">
        <f t="shared" si="7"/>
        <v>2.0013123359580054</v>
      </c>
      <c r="M185" s="17">
        <f t="shared" si="8"/>
        <v>0.63976377952755903</v>
      </c>
    </row>
    <row r="186" spans="1:13" x14ac:dyDescent="0.3">
      <c r="A186" s="36" t="s">
        <v>243</v>
      </c>
      <c r="B186" s="8" t="s">
        <v>22</v>
      </c>
      <c r="C186" s="37">
        <v>401179435</v>
      </c>
      <c r="D186" s="9">
        <v>401179435</v>
      </c>
      <c r="E186" s="31">
        <v>12</v>
      </c>
      <c r="F186" s="8">
        <v>7.5</v>
      </c>
      <c r="G186" s="32">
        <v>2.8288472222222221</v>
      </c>
      <c r="H186" s="8">
        <v>67</v>
      </c>
      <c r="I186" s="8">
        <v>61</v>
      </c>
      <c r="J186" s="8">
        <v>19.5</v>
      </c>
      <c r="K186" s="17">
        <f t="shared" si="6"/>
        <v>2.1981627296587924</v>
      </c>
      <c r="L186" s="17">
        <f t="shared" si="7"/>
        <v>2.0013123359580054</v>
      </c>
      <c r="M186" s="17">
        <f t="shared" si="8"/>
        <v>0.63976377952755903</v>
      </c>
    </row>
    <row r="187" spans="1:13" x14ac:dyDescent="0.3">
      <c r="A187" s="29" t="s">
        <v>244</v>
      </c>
      <c r="B187" s="8" t="s">
        <v>22</v>
      </c>
      <c r="C187" s="30">
        <v>401179468</v>
      </c>
      <c r="D187" s="9">
        <v>401179468</v>
      </c>
      <c r="E187" s="31">
        <v>12</v>
      </c>
      <c r="F187" s="8">
        <v>7.5</v>
      </c>
      <c r="G187" s="32">
        <v>2.8288472222222221</v>
      </c>
      <c r="H187" s="8">
        <v>67</v>
      </c>
      <c r="I187" s="8">
        <v>61</v>
      </c>
      <c r="J187" s="8">
        <v>19.5</v>
      </c>
      <c r="K187" s="17">
        <f t="shared" si="6"/>
        <v>2.1981627296587924</v>
      </c>
      <c r="L187" s="17">
        <f t="shared" si="7"/>
        <v>2.0013123359580054</v>
      </c>
      <c r="M187" s="17">
        <f t="shared" si="8"/>
        <v>0.63976377952755903</v>
      </c>
    </row>
    <row r="188" spans="1:13" x14ac:dyDescent="0.3">
      <c r="A188" s="33" t="s">
        <v>245</v>
      </c>
      <c r="B188" s="8" t="s">
        <v>22</v>
      </c>
      <c r="C188" s="34">
        <v>401179374</v>
      </c>
      <c r="D188" s="9">
        <v>401179374</v>
      </c>
      <c r="E188" s="31">
        <v>12</v>
      </c>
      <c r="F188" s="8">
        <v>8.9</v>
      </c>
      <c r="G188" s="32">
        <v>3.1266180555555554</v>
      </c>
      <c r="H188" s="8">
        <v>69.5</v>
      </c>
      <c r="I188" s="8">
        <v>68</v>
      </c>
      <c r="J188" s="8">
        <v>23</v>
      </c>
      <c r="K188" s="17">
        <f t="shared" si="6"/>
        <v>2.2801837270341205</v>
      </c>
      <c r="L188" s="17">
        <f t="shared" si="7"/>
        <v>2.2309711286089238</v>
      </c>
      <c r="M188" s="17">
        <f t="shared" si="8"/>
        <v>0.75459317585301833</v>
      </c>
    </row>
    <row r="189" spans="1:13" x14ac:dyDescent="0.3">
      <c r="A189" s="29" t="s">
        <v>246</v>
      </c>
      <c r="B189" s="8" t="s">
        <v>22</v>
      </c>
      <c r="C189" s="30">
        <v>401179473</v>
      </c>
      <c r="D189" s="9">
        <v>401179473</v>
      </c>
      <c r="E189" s="31">
        <v>12</v>
      </c>
      <c r="F189" s="8">
        <v>8.9</v>
      </c>
      <c r="G189" s="32">
        <v>3.1266180555555554</v>
      </c>
      <c r="H189" s="8">
        <v>69.5</v>
      </c>
      <c r="I189" s="8">
        <v>68</v>
      </c>
      <c r="J189" s="8">
        <v>23</v>
      </c>
      <c r="K189" s="17">
        <f t="shared" si="6"/>
        <v>2.2801837270341205</v>
      </c>
      <c r="L189" s="17">
        <f t="shared" si="7"/>
        <v>2.2309711286089238</v>
      </c>
      <c r="M189" s="17">
        <f t="shared" si="8"/>
        <v>0.75459317585301833</v>
      </c>
    </row>
    <row r="190" spans="1:13" x14ac:dyDescent="0.3">
      <c r="A190" s="36" t="s">
        <v>247</v>
      </c>
      <c r="B190" s="8" t="s">
        <v>22</v>
      </c>
      <c r="C190" s="37">
        <v>401179436</v>
      </c>
      <c r="D190" s="9">
        <v>401179436</v>
      </c>
      <c r="E190" s="31">
        <v>12</v>
      </c>
      <c r="F190" s="8">
        <v>8.9</v>
      </c>
      <c r="G190" s="32">
        <v>3.1266180555555554</v>
      </c>
      <c r="H190" s="8">
        <v>69.5</v>
      </c>
      <c r="I190" s="8">
        <v>68</v>
      </c>
      <c r="J190" s="8">
        <v>23</v>
      </c>
      <c r="K190" s="17">
        <f t="shared" si="6"/>
        <v>2.2801837270341205</v>
      </c>
      <c r="L190" s="17">
        <f t="shared" si="7"/>
        <v>2.2309711286089238</v>
      </c>
      <c r="M190" s="17">
        <f t="shared" si="8"/>
        <v>0.75459317585301833</v>
      </c>
    </row>
    <row r="191" spans="1:13" x14ac:dyDescent="0.3">
      <c r="A191" s="29" t="s">
        <v>248</v>
      </c>
      <c r="B191" s="8" t="s">
        <v>22</v>
      </c>
      <c r="C191" s="30">
        <v>401179467</v>
      </c>
      <c r="D191" s="9">
        <v>401179467</v>
      </c>
      <c r="E191" s="31">
        <v>12</v>
      </c>
      <c r="F191" s="8">
        <v>8.9</v>
      </c>
      <c r="G191" s="32">
        <v>3.1266180555555554</v>
      </c>
      <c r="H191" s="8">
        <v>69.5</v>
      </c>
      <c r="I191" s="8">
        <v>68</v>
      </c>
      <c r="J191" s="8">
        <v>23</v>
      </c>
      <c r="K191" s="17">
        <f t="shared" si="6"/>
        <v>2.2801837270341205</v>
      </c>
      <c r="L191" s="17">
        <f t="shared" si="7"/>
        <v>2.2309711286089238</v>
      </c>
      <c r="M191" s="17">
        <f t="shared" si="8"/>
        <v>0.75459317585301833</v>
      </c>
    </row>
    <row r="192" spans="1:13" x14ac:dyDescent="0.3">
      <c r="A192" s="33" t="s">
        <v>249</v>
      </c>
      <c r="B192" s="8" t="s">
        <v>22</v>
      </c>
      <c r="C192" s="34">
        <v>401179344</v>
      </c>
      <c r="D192" s="9" t="s">
        <v>250</v>
      </c>
      <c r="E192" s="31">
        <v>12</v>
      </c>
      <c r="F192" s="8">
        <v>10.199999999999999</v>
      </c>
      <c r="G192" s="32">
        <v>4.3546279620016239</v>
      </c>
      <c r="H192" s="8">
        <v>87</v>
      </c>
      <c r="I192" s="8">
        <v>59</v>
      </c>
      <c r="J192" s="8">
        <v>19</v>
      </c>
      <c r="K192" s="17">
        <f t="shared" si="6"/>
        <v>2.8543307086614171</v>
      </c>
      <c r="L192" s="17">
        <f t="shared" si="7"/>
        <v>1.9356955380577427</v>
      </c>
      <c r="M192" s="17">
        <f t="shared" si="8"/>
        <v>0.62335958005249348</v>
      </c>
    </row>
    <row r="193" spans="1:13" x14ac:dyDescent="0.3">
      <c r="A193" s="36" t="s">
        <v>251</v>
      </c>
      <c r="B193" s="8" t="s">
        <v>22</v>
      </c>
      <c r="C193" s="37">
        <v>401179439</v>
      </c>
      <c r="D193" s="9">
        <v>401179439</v>
      </c>
      <c r="E193" s="31">
        <v>12</v>
      </c>
      <c r="F193" s="8">
        <v>10.199999999999999</v>
      </c>
      <c r="G193" s="32">
        <v>4.3546279620016239</v>
      </c>
      <c r="H193" s="8">
        <v>87</v>
      </c>
      <c r="I193" s="8">
        <v>59</v>
      </c>
      <c r="J193" s="8">
        <v>19</v>
      </c>
      <c r="K193" s="17">
        <f t="shared" si="6"/>
        <v>2.8543307086614171</v>
      </c>
      <c r="L193" s="17">
        <f t="shared" si="7"/>
        <v>1.9356955380577427</v>
      </c>
      <c r="M193" s="17">
        <f t="shared" si="8"/>
        <v>0.62335958005249348</v>
      </c>
    </row>
    <row r="194" spans="1:13" x14ac:dyDescent="0.3">
      <c r="A194" s="29" t="s">
        <v>252</v>
      </c>
      <c r="B194" s="8" t="s">
        <v>22</v>
      </c>
      <c r="C194" s="30">
        <v>401179470</v>
      </c>
      <c r="D194" s="9">
        <v>401179470</v>
      </c>
      <c r="E194" s="31">
        <v>12</v>
      </c>
      <c r="F194" s="8">
        <v>10.199999999999999</v>
      </c>
      <c r="G194" s="32">
        <v>4.3546279620016239</v>
      </c>
      <c r="H194" s="8">
        <v>87</v>
      </c>
      <c r="I194" s="8">
        <v>59</v>
      </c>
      <c r="J194" s="8">
        <v>19</v>
      </c>
      <c r="K194" s="17">
        <f t="shared" si="6"/>
        <v>2.8543307086614171</v>
      </c>
      <c r="L194" s="17">
        <f t="shared" si="7"/>
        <v>1.9356955380577427</v>
      </c>
      <c r="M194" s="17">
        <f t="shared" si="8"/>
        <v>0.62335958005249348</v>
      </c>
    </row>
    <row r="195" spans="1:13" x14ac:dyDescent="0.3">
      <c r="A195" s="29" t="s">
        <v>253</v>
      </c>
      <c r="B195" s="8" t="s">
        <v>22</v>
      </c>
      <c r="C195" s="30">
        <v>401179477</v>
      </c>
      <c r="D195" s="9">
        <v>401179477</v>
      </c>
      <c r="E195" s="31">
        <v>12</v>
      </c>
      <c r="F195" s="8">
        <v>10.199999999999999</v>
      </c>
      <c r="G195" s="32">
        <v>4.3546279620016239</v>
      </c>
      <c r="H195" s="8">
        <v>87</v>
      </c>
      <c r="I195" s="8">
        <v>59</v>
      </c>
      <c r="J195" s="8">
        <v>19</v>
      </c>
      <c r="K195" s="17">
        <f t="shared" ref="K195:K258" si="9">H195/30.48</f>
        <v>2.8543307086614171</v>
      </c>
      <c r="L195" s="17">
        <f t="shared" ref="L195:L258" si="10">I195/30.48</f>
        <v>1.9356955380577427</v>
      </c>
      <c r="M195" s="17">
        <f t="shared" ref="M195:M258" si="11">J195/30.48</f>
        <v>0.62335958005249348</v>
      </c>
    </row>
    <row r="196" spans="1:13" x14ac:dyDescent="0.3">
      <c r="A196" s="29" t="s">
        <v>254</v>
      </c>
      <c r="B196" s="8" t="s">
        <v>22</v>
      </c>
      <c r="C196" s="30">
        <v>401179502</v>
      </c>
      <c r="D196" s="9">
        <v>401179502</v>
      </c>
      <c r="E196" s="31">
        <v>16</v>
      </c>
      <c r="F196" s="8">
        <v>8.6999999999999993</v>
      </c>
      <c r="G196" s="32">
        <v>2.6246759259259256</v>
      </c>
      <c r="H196" s="8">
        <v>73</v>
      </c>
      <c r="I196" s="8">
        <v>29</v>
      </c>
      <c r="J196" s="8">
        <v>48</v>
      </c>
      <c r="K196" s="17">
        <f t="shared" si="9"/>
        <v>2.3950131233595799</v>
      </c>
      <c r="L196" s="17">
        <f t="shared" si="10"/>
        <v>0.95144356955380571</v>
      </c>
      <c r="M196" s="17">
        <f t="shared" si="11"/>
        <v>1.5748031496062991</v>
      </c>
    </row>
    <row r="197" spans="1:13" x14ac:dyDescent="0.3">
      <c r="A197" s="33" t="s">
        <v>255</v>
      </c>
      <c r="B197" s="8" t="s">
        <v>256</v>
      </c>
      <c r="C197" s="34">
        <v>401179368</v>
      </c>
      <c r="D197" s="9">
        <v>401179368</v>
      </c>
      <c r="E197" s="31">
        <v>24</v>
      </c>
      <c r="F197" s="8">
        <v>9.4</v>
      </c>
      <c r="G197" s="32">
        <v>0.87721156902214203</v>
      </c>
      <c r="H197" s="8">
        <v>35</v>
      </c>
      <c r="I197" s="8">
        <v>30</v>
      </c>
      <c r="J197" s="8">
        <v>24.5</v>
      </c>
      <c r="K197" s="17">
        <f t="shared" si="9"/>
        <v>1.1482939632545932</v>
      </c>
      <c r="L197" s="17">
        <f t="shared" si="10"/>
        <v>0.98425196850393704</v>
      </c>
      <c r="M197" s="17">
        <f t="shared" si="11"/>
        <v>0.8038057742782152</v>
      </c>
    </row>
    <row r="198" spans="1:13" x14ac:dyDescent="0.3">
      <c r="A198" s="33" t="s">
        <v>257</v>
      </c>
      <c r="B198" s="8" t="s">
        <v>258</v>
      </c>
      <c r="C198" s="34">
        <v>401220002</v>
      </c>
      <c r="D198" s="9">
        <v>401220002</v>
      </c>
      <c r="E198" s="31">
        <v>50</v>
      </c>
      <c r="F198" s="8">
        <v>12</v>
      </c>
      <c r="G198" s="35">
        <v>0.90772327577073841</v>
      </c>
      <c r="H198" s="8">
        <v>31.5</v>
      </c>
      <c r="I198" s="8">
        <v>31.5</v>
      </c>
      <c r="J198" s="8">
        <v>25.5</v>
      </c>
      <c r="K198" s="17">
        <f t="shared" si="9"/>
        <v>1.0334645669291338</v>
      </c>
      <c r="L198" s="17">
        <f t="shared" si="10"/>
        <v>1.0334645669291338</v>
      </c>
      <c r="M198" s="17">
        <f t="shared" si="11"/>
        <v>0.83661417322834641</v>
      </c>
    </row>
    <row r="199" spans="1:13" x14ac:dyDescent="0.3">
      <c r="A199" s="33" t="s">
        <v>259</v>
      </c>
      <c r="B199" s="8" t="s">
        <v>258</v>
      </c>
      <c r="C199" s="34">
        <v>401220001</v>
      </c>
      <c r="D199" s="9">
        <v>401220001</v>
      </c>
      <c r="E199" s="31">
        <v>12</v>
      </c>
      <c r="F199" s="8">
        <v>6.1</v>
      </c>
      <c r="G199" s="35">
        <v>0.34131944444444445</v>
      </c>
      <c r="H199" s="8">
        <v>28</v>
      </c>
      <c r="I199" s="8">
        <v>21.9</v>
      </c>
      <c r="J199" s="8">
        <v>15</v>
      </c>
      <c r="K199" s="17">
        <f t="shared" si="9"/>
        <v>0.9186351706036745</v>
      </c>
      <c r="L199" s="17">
        <f t="shared" si="10"/>
        <v>0.71850393700787396</v>
      </c>
      <c r="M199" s="17">
        <f t="shared" si="11"/>
        <v>0.49212598425196852</v>
      </c>
    </row>
    <row r="200" spans="1:13" x14ac:dyDescent="0.3">
      <c r="A200" s="33" t="s">
        <v>260</v>
      </c>
      <c r="B200" s="8" t="s">
        <v>261</v>
      </c>
      <c r="C200" s="34">
        <v>401283028</v>
      </c>
      <c r="D200" s="9">
        <v>401283028</v>
      </c>
      <c r="E200" s="31">
        <v>360</v>
      </c>
      <c r="F200" s="8">
        <v>13.3</v>
      </c>
      <c r="G200" s="32">
        <v>1.0666666666666667</v>
      </c>
      <c r="H200" s="8">
        <v>57</v>
      </c>
      <c r="I200" s="8">
        <v>35.5</v>
      </c>
      <c r="J200" s="8">
        <v>21</v>
      </c>
      <c r="K200" s="17">
        <f t="shared" si="9"/>
        <v>1.8700787401574803</v>
      </c>
      <c r="L200" s="17">
        <f t="shared" si="10"/>
        <v>1.1646981627296589</v>
      </c>
      <c r="M200" s="17">
        <f t="shared" si="11"/>
        <v>0.6889763779527559</v>
      </c>
    </row>
    <row r="201" spans="1:13" x14ac:dyDescent="0.3">
      <c r="A201" s="33" t="s">
        <v>262</v>
      </c>
      <c r="B201" s="8" t="s">
        <v>261</v>
      </c>
      <c r="C201" s="34">
        <v>401283006</v>
      </c>
      <c r="D201" s="9">
        <v>401283006</v>
      </c>
      <c r="E201" s="31">
        <v>360</v>
      </c>
      <c r="F201" s="8">
        <v>13.3</v>
      </c>
      <c r="G201" s="32">
        <v>1.0666666666666667</v>
      </c>
      <c r="H201" s="8">
        <v>57</v>
      </c>
      <c r="I201" s="8">
        <v>35.5</v>
      </c>
      <c r="J201" s="8">
        <v>21</v>
      </c>
      <c r="K201" s="17">
        <f t="shared" si="9"/>
        <v>1.8700787401574803</v>
      </c>
      <c r="L201" s="17">
        <f t="shared" si="10"/>
        <v>1.1646981627296589</v>
      </c>
      <c r="M201" s="17">
        <f t="shared" si="11"/>
        <v>0.6889763779527559</v>
      </c>
    </row>
    <row r="202" spans="1:13" x14ac:dyDescent="0.3">
      <c r="A202" s="33" t="s">
        <v>263</v>
      </c>
      <c r="B202" s="8" t="s">
        <v>261</v>
      </c>
      <c r="C202" s="34">
        <v>401283007</v>
      </c>
      <c r="D202" s="9">
        <v>401283007</v>
      </c>
      <c r="E202" s="31">
        <v>360</v>
      </c>
      <c r="F202" s="8">
        <v>13.3</v>
      </c>
      <c r="G202" s="32">
        <v>1.0666666666666667</v>
      </c>
      <c r="H202" s="8">
        <v>57</v>
      </c>
      <c r="I202" s="8">
        <v>35.5</v>
      </c>
      <c r="J202" s="8">
        <v>21</v>
      </c>
      <c r="K202" s="17">
        <f t="shared" si="9"/>
        <v>1.8700787401574803</v>
      </c>
      <c r="L202" s="17">
        <f t="shared" si="10"/>
        <v>1.1646981627296589</v>
      </c>
      <c r="M202" s="17">
        <f t="shared" si="11"/>
        <v>0.6889763779527559</v>
      </c>
    </row>
    <row r="203" spans="1:13" x14ac:dyDescent="0.3">
      <c r="A203" s="33" t="s">
        <v>264</v>
      </c>
      <c r="B203" s="8" t="s">
        <v>261</v>
      </c>
      <c r="C203" s="34">
        <v>401283008</v>
      </c>
      <c r="D203" s="9">
        <v>401283008</v>
      </c>
      <c r="E203" s="31">
        <v>360</v>
      </c>
      <c r="F203" s="8">
        <v>13.3</v>
      </c>
      <c r="G203" s="32">
        <v>1.0666666666666667</v>
      </c>
      <c r="H203" s="8">
        <v>57</v>
      </c>
      <c r="I203" s="8">
        <v>35.5</v>
      </c>
      <c r="J203" s="8">
        <v>21</v>
      </c>
      <c r="K203" s="17">
        <f t="shared" si="9"/>
        <v>1.8700787401574803</v>
      </c>
      <c r="L203" s="17">
        <f t="shared" si="10"/>
        <v>1.1646981627296589</v>
      </c>
      <c r="M203" s="17">
        <f t="shared" si="11"/>
        <v>0.6889763779527559</v>
      </c>
    </row>
    <row r="204" spans="1:13" x14ac:dyDescent="0.3">
      <c r="A204" s="33" t="s">
        <v>265</v>
      </c>
      <c r="B204" s="8" t="s">
        <v>261</v>
      </c>
      <c r="C204" s="34">
        <v>401283009</v>
      </c>
      <c r="D204" s="9">
        <v>401283009</v>
      </c>
      <c r="E204" s="31">
        <v>360</v>
      </c>
      <c r="F204" s="8">
        <v>13.3</v>
      </c>
      <c r="G204" s="32">
        <v>1.0666666666666667</v>
      </c>
      <c r="H204" s="8">
        <v>57</v>
      </c>
      <c r="I204" s="8">
        <v>35.5</v>
      </c>
      <c r="J204" s="8">
        <v>21</v>
      </c>
      <c r="K204" s="17">
        <f t="shared" si="9"/>
        <v>1.8700787401574803</v>
      </c>
      <c r="L204" s="17">
        <f t="shared" si="10"/>
        <v>1.1646981627296589</v>
      </c>
      <c r="M204" s="17">
        <f t="shared" si="11"/>
        <v>0.6889763779527559</v>
      </c>
    </row>
    <row r="205" spans="1:13" x14ac:dyDescent="0.3">
      <c r="A205" s="29" t="s">
        <v>266</v>
      </c>
      <c r="B205" s="8" t="s">
        <v>35</v>
      </c>
      <c r="C205" s="30">
        <v>400935096</v>
      </c>
      <c r="D205" s="9">
        <v>400935096</v>
      </c>
      <c r="E205" s="31">
        <v>24</v>
      </c>
      <c r="F205" s="8">
        <v>7.45</v>
      </c>
      <c r="G205" s="32">
        <v>3.9729027777777772</v>
      </c>
      <c r="H205" s="8">
        <v>90</v>
      </c>
      <c r="I205" s="8">
        <v>60</v>
      </c>
      <c r="J205" s="8">
        <v>19.5</v>
      </c>
      <c r="K205" s="17">
        <f t="shared" si="9"/>
        <v>2.9527559055118111</v>
      </c>
      <c r="L205" s="17">
        <f t="shared" si="10"/>
        <v>1.9685039370078741</v>
      </c>
      <c r="M205" s="17">
        <f t="shared" si="11"/>
        <v>0.63976377952755903</v>
      </c>
    </row>
    <row r="206" spans="1:13" x14ac:dyDescent="0.3">
      <c r="A206" s="33" t="s">
        <v>267</v>
      </c>
      <c r="B206" s="8" t="s">
        <v>268</v>
      </c>
      <c r="C206" s="34">
        <v>401012008</v>
      </c>
      <c r="D206" s="9" t="s">
        <v>269</v>
      </c>
      <c r="E206" s="31">
        <v>360</v>
      </c>
      <c r="F206" s="8">
        <v>3.25</v>
      </c>
      <c r="G206" s="35">
        <v>0.45696048310202353</v>
      </c>
      <c r="H206" s="8">
        <v>61</v>
      </c>
      <c r="I206" s="8">
        <v>23</v>
      </c>
      <c r="J206" s="8">
        <v>17</v>
      </c>
      <c r="K206" s="17">
        <f t="shared" si="9"/>
        <v>2.0013123359580054</v>
      </c>
      <c r="L206" s="17">
        <f t="shared" si="10"/>
        <v>0.75459317585301833</v>
      </c>
      <c r="M206" s="17">
        <f t="shared" si="11"/>
        <v>0.55774278215223094</v>
      </c>
    </row>
    <row r="207" spans="1:13" x14ac:dyDescent="0.3">
      <c r="A207" s="33" t="s">
        <v>270</v>
      </c>
      <c r="B207" s="8" t="s">
        <v>35</v>
      </c>
      <c r="C207" s="34">
        <v>401359001</v>
      </c>
      <c r="D207" s="9">
        <v>401359001</v>
      </c>
      <c r="E207" s="31">
        <v>20</v>
      </c>
      <c r="F207" s="8">
        <v>1.75</v>
      </c>
      <c r="G207" s="35">
        <v>0.30877314814814816</v>
      </c>
      <c r="H207" s="8">
        <v>32.5</v>
      </c>
      <c r="I207" s="8">
        <v>24</v>
      </c>
      <c r="J207" s="8">
        <v>20</v>
      </c>
      <c r="K207" s="17">
        <f t="shared" si="9"/>
        <v>1.0662729658792651</v>
      </c>
      <c r="L207" s="17">
        <f t="shared" si="10"/>
        <v>0.78740157480314954</v>
      </c>
      <c r="M207" s="17">
        <f t="shared" si="11"/>
        <v>0.65616797900262469</v>
      </c>
    </row>
    <row r="208" spans="1:13" x14ac:dyDescent="0.3">
      <c r="A208" s="33" t="s">
        <v>271</v>
      </c>
      <c r="B208" s="8" t="s">
        <v>268</v>
      </c>
      <c r="C208" s="34">
        <v>400907009</v>
      </c>
      <c r="D208" s="9" t="s">
        <v>272</v>
      </c>
      <c r="E208" s="31">
        <v>180</v>
      </c>
      <c r="F208" s="8">
        <v>2.4500000000000002</v>
      </c>
      <c r="G208" s="35">
        <v>0.82638888888888873</v>
      </c>
      <c r="H208" s="8">
        <v>31.5</v>
      </c>
      <c r="I208" s="8">
        <v>26.8</v>
      </c>
      <c r="J208" s="8">
        <v>24</v>
      </c>
      <c r="K208" s="17">
        <f t="shared" si="9"/>
        <v>1.0334645669291338</v>
      </c>
      <c r="L208" s="17">
        <f t="shared" si="10"/>
        <v>0.87926509186351709</v>
      </c>
      <c r="M208" s="17">
        <f t="shared" si="11"/>
        <v>0.78740157480314954</v>
      </c>
    </row>
    <row r="209" spans="1:13" x14ac:dyDescent="0.3">
      <c r="A209" s="33" t="s">
        <v>273</v>
      </c>
      <c r="B209" s="8" t="s">
        <v>268</v>
      </c>
      <c r="C209" s="34">
        <v>400907006</v>
      </c>
      <c r="D209" s="9">
        <v>400907006</v>
      </c>
      <c r="E209" s="31">
        <v>360</v>
      </c>
      <c r="F209" s="8">
        <v>2.6</v>
      </c>
      <c r="G209" s="35">
        <v>1.2780949999999998</v>
      </c>
      <c r="H209" s="8">
        <v>37</v>
      </c>
      <c r="I209" s="8">
        <v>20</v>
      </c>
      <c r="J209" s="8">
        <v>30</v>
      </c>
      <c r="K209" s="17">
        <f t="shared" si="9"/>
        <v>1.2139107611548556</v>
      </c>
      <c r="L209" s="17">
        <f t="shared" si="10"/>
        <v>0.65616797900262469</v>
      </c>
      <c r="M209" s="17">
        <f t="shared" si="11"/>
        <v>0.98425196850393704</v>
      </c>
    </row>
    <row r="210" spans="1:13" x14ac:dyDescent="0.3">
      <c r="A210" s="33" t="s">
        <v>274</v>
      </c>
      <c r="B210" s="8" t="s">
        <v>43</v>
      </c>
      <c r="C210" s="34">
        <v>401238005</v>
      </c>
      <c r="D210" s="9">
        <v>401238005</v>
      </c>
      <c r="E210" s="31">
        <v>16</v>
      </c>
      <c r="F210" s="8">
        <v>5.2</v>
      </c>
      <c r="G210" s="32">
        <v>0.99417311155842769</v>
      </c>
      <c r="H210" s="8">
        <v>35</v>
      </c>
      <c r="I210" s="8">
        <v>32</v>
      </c>
      <c r="J210" s="8">
        <v>25.2</v>
      </c>
      <c r="K210" s="17">
        <f t="shared" si="9"/>
        <v>1.1482939632545932</v>
      </c>
      <c r="L210" s="17">
        <f t="shared" si="10"/>
        <v>1.0498687664041995</v>
      </c>
      <c r="M210" s="17">
        <f t="shared" si="11"/>
        <v>0.82677165354330706</v>
      </c>
    </row>
    <row r="211" spans="1:13" x14ac:dyDescent="0.3">
      <c r="A211" s="33" t="s">
        <v>275</v>
      </c>
      <c r="B211" s="8" t="s">
        <v>43</v>
      </c>
      <c r="C211" s="38">
        <v>401238038</v>
      </c>
      <c r="D211" s="9">
        <v>401238038</v>
      </c>
      <c r="E211" s="31">
        <v>16</v>
      </c>
      <c r="F211" s="8">
        <v>5.2</v>
      </c>
      <c r="G211" s="32">
        <v>0.99417311155842769</v>
      </c>
      <c r="H211" s="8">
        <v>35</v>
      </c>
      <c r="I211" s="8">
        <v>32</v>
      </c>
      <c r="J211" s="8">
        <v>25.2</v>
      </c>
      <c r="K211" s="17">
        <f t="shared" si="9"/>
        <v>1.1482939632545932</v>
      </c>
      <c r="L211" s="17">
        <f t="shared" si="10"/>
        <v>1.0498687664041995</v>
      </c>
      <c r="M211" s="17">
        <f t="shared" si="11"/>
        <v>0.82677165354330706</v>
      </c>
    </row>
    <row r="212" spans="1:13" x14ac:dyDescent="0.3">
      <c r="A212" s="33" t="s">
        <v>276</v>
      </c>
      <c r="B212" s="8" t="s">
        <v>43</v>
      </c>
      <c r="C212" s="34">
        <v>401238006</v>
      </c>
      <c r="D212" s="9">
        <v>401238006</v>
      </c>
      <c r="E212" s="31">
        <v>16</v>
      </c>
      <c r="F212" s="8">
        <v>5.2</v>
      </c>
      <c r="G212" s="32">
        <v>0.99417311155842769</v>
      </c>
      <c r="H212" s="8">
        <v>35</v>
      </c>
      <c r="I212" s="8">
        <v>32</v>
      </c>
      <c r="J212" s="8">
        <v>25.2</v>
      </c>
      <c r="K212" s="17">
        <f t="shared" si="9"/>
        <v>1.1482939632545932</v>
      </c>
      <c r="L212" s="17">
        <f t="shared" si="10"/>
        <v>1.0498687664041995</v>
      </c>
      <c r="M212" s="17">
        <f t="shared" si="11"/>
        <v>0.82677165354330706</v>
      </c>
    </row>
    <row r="213" spans="1:13" x14ac:dyDescent="0.3">
      <c r="A213" s="33" t="s">
        <v>277</v>
      </c>
      <c r="B213" s="8" t="s">
        <v>43</v>
      </c>
      <c r="C213" s="38">
        <v>401238037</v>
      </c>
      <c r="D213" s="9">
        <v>401238037</v>
      </c>
      <c r="E213" s="31">
        <v>16</v>
      </c>
      <c r="F213" s="8">
        <v>5.2</v>
      </c>
      <c r="G213" s="32">
        <v>0.99417311155842769</v>
      </c>
      <c r="H213" s="8">
        <v>35</v>
      </c>
      <c r="I213" s="8">
        <v>32</v>
      </c>
      <c r="J213" s="8">
        <v>25.2</v>
      </c>
      <c r="K213" s="17">
        <f t="shared" si="9"/>
        <v>1.1482939632545932</v>
      </c>
      <c r="L213" s="17">
        <f t="shared" si="10"/>
        <v>1.0498687664041995</v>
      </c>
      <c r="M213" s="17">
        <f t="shared" si="11"/>
        <v>0.82677165354330706</v>
      </c>
    </row>
    <row r="214" spans="1:13" x14ac:dyDescent="0.3">
      <c r="A214" s="33" t="s">
        <v>278</v>
      </c>
      <c r="B214" s="8" t="s">
        <v>43</v>
      </c>
      <c r="C214" s="34">
        <v>401238019</v>
      </c>
      <c r="D214" s="9">
        <v>401238019</v>
      </c>
      <c r="E214" s="31">
        <v>16</v>
      </c>
      <c r="F214" s="8">
        <v>5.2</v>
      </c>
      <c r="G214" s="32">
        <v>0.99417311155842769</v>
      </c>
      <c r="H214" s="8">
        <v>35</v>
      </c>
      <c r="I214" s="8">
        <v>32</v>
      </c>
      <c r="J214" s="8">
        <v>25.2</v>
      </c>
      <c r="K214" s="17">
        <f t="shared" si="9"/>
        <v>1.1482939632545932</v>
      </c>
      <c r="L214" s="17">
        <f t="shared" si="10"/>
        <v>1.0498687664041995</v>
      </c>
      <c r="M214" s="17">
        <f t="shared" si="11"/>
        <v>0.82677165354330706</v>
      </c>
    </row>
    <row r="215" spans="1:13" x14ac:dyDescent="0.3">
      <c r="A215" s="33" t="s">
        <v>279</v>
      </c>
      <c r="B215" s="8" t="s">
        <v>43</v>
      </c>
      <c r="C215" s="38">
        <v>401238036</v>
      </c>
      <c r="D215" s="9">
        <v>401238036</v>
      </c>
      <c r="E215" s="31">
        <v>16</v>
      </c>
      <c r="F215" s="8">
        <v>5.2</v>
      </c>
      <c r="G215" s="32">
        <v>0.99417311155842769</v>
      </c>
      <c r="H215" s="8">
        <v>35</v>
      </c>
      <c r="I215" s="8">
        <v>32</v>
      </c>
      <c r="J215" s="8">
        <v>25.2</v>
      </c>
      <c r="K215" s="17">
        <f t="shared" si="9"/>
        <v>1.1482939632545932</v>
      </c>
      <c r="L215" s="17">
        <f t="shared" si="10"/>
        <v>1.0498687664041995</v>
      </c>
      <c r="M215" s="17">
        <f t="shared" si="11"/>
        <v>0.82677165354330706</v>
      </c>
    </row>
    <row r="216" spans="1:13" x14ac:dyDescent="0.3">
      <c r="A216" s="33" t="s">
        <v>280</v>
      </c>
      <c r="B216" s="8" t="s">
        <v>281</v>
      </c>
      <c r="C216" s="34">
        <v>401420003</v>
      </c>
      <c r="D216" s="9">
        <v>401420003</v>
      </c>
      <c r="E216" s="31">
        <v>60</v>
      </c>
      <c r="F216" s="8">
        <v>2.35</v>
      </c>
      <c r="G216" s="35">
        <v>0.2866447354449827</v>
      </c>
      <c r="H216" s="8">
        <v>22</v>
      </c>
      <c r="I216" s="8">
        <v>18.5</v>
      </c>
      <c r="J216" s="8">
        <v>19.600000000000001</v>
      </c>
      <c r="K216" s="17">
        <f t="shared" si="9"/>
        <v>0.72178477690288712</v>
      </c>
      <c r="L216" s="17">
        <f t="shared" si="10"/>
        <v>0.60695538057742782</v>
      </c>
      <c r="M216" s="17">
        <f t="shared" si="11"/>
        <v>0.64304461942257218</v>
      </c>
    </row>
    <row r="217" spans="1:13" x14ac:dyDescent="0.3">
      <c r="A217" s="33" t="s">
        <v>282</v>
      </c>
      <c r="B217" s="8" t="s">
        <v>57</v>
      </c>
      <c r="C217" s="34">
        <v>400065161</v>
      </c>
      <c r="D217" s="9">
        <v>400065161</v>
      </c>
      <c r="E217" s="31">
        <v>48</v>
      </c>
      <c r="F217" s="8">
        <v>6.3</v>
      </c>
      <c r="G217" s="35">
        <v>0.7038888888888889</v>
      </c>
      <c r="H217" s="8">
        <v>38</v>
      </c>
      <c r="I217" s="8">
        <v>28.5</v>
      </c>
      <c r="J217" s="8">
        <v>17.8</v>
      </c>
      <c r="K217" s="17">
        <f t="shared" si="9"/>
        <v>1.246719160104987</v>
      </c>
      <c r="L217" s="17">
        <f t="shared" si="10"/>
        <v>0.93503937007874016</v>
      </c>
      <c r="M217" s="17">
        <f t="shared" si="11"/>
        <v>0.58398950131233596</v>
      </c>
    </row>
    <row r="218" spans="1:13" x14ac:dyDescent="0.3">
      <c r="A218" s="33" t="s">
        <v>283</v>
      </c>
      <c r="B218" s="8" t="s">
        <v>57</v>
      </c>
      <c r="C218" s="34">
        <v>400065132</v>
      </c>
      <c r="D218" s="9">
        <v>400065132</v>
      </c>
      <c r="E218" s="31">
        <v>60</v>
      </c>
      <c r="F218" s="8">
        <v>8.9</v>
      </c>
      <c r="G218" s="35">
        <v>0.94628472222222237</v>
      </c>
      <c r="H218" s="8">
        <v>40.5</v>
      </c>
      <c r="I218" s="8">
        <v>18</v>
      </c>
      <c r="J218" s="8">
        <v>22</v>
      </c>
      <c r="K218" s="17">
        <f t="shared" si="9"/>
        <v>1.328740157480315</v>
      </c>
      <c r="L218" s="17">
        <f t="shared" si="10"/>
        <v>0.59055118110236215</v>
      </c>
      <c r="M218" s="17">
        <f t="shared" si="11"/>
        <v>0.72178477690288712</v>
      </c>
    </row>
    <row r="219" spans="1:13" x14ac:dyDescent="0.3">
      <c r="A219" s="29" t="s">
        <v>284</v>
      </c>
      <c r="B219" s="8" t="s">
        <v>57</v>
      </c>
      <c r="C219" s="30">
        <v>400065192</v>
      </c>
      <c r="D219" s="9">
        <v>400065192</v>
      </c>
      <c r="E219" s="31">
        <v>48</v>
      </c>
      <c r="F219" s="8">
        <v>12.35</v>
      </c>
      <c r="G219" s="32">
        <v>1.1351944444444444</v>
      </c>
      <c r="H219" s="8">
        <v>37</v>
      </c>
      <c r="I219" s="8">
        <v>42</v>
      </c>
      <c r="J219" s="8">
        <v>23</v>
      </c>
      <c r="K219" s="17">
        <f t="shared" si="9"/>
        <v>1.2139107611548556</v>
      </c>
      <c r="L219" s="17">
        <f t="shared" si="10"/>
        <v>1.3779527559055118</v>
      </c>
      <c r="M219" s="17">
        <f t="shared" si="11"/>
        <v>0.75459317585301833</v>
      </c>
    </row>
    <row r="220" spans="1:13" x14ac:dyDescent="0.3">
      <c r="A220" s="33" t="s">
        <v>285</v>
      </c>
      <c r="B220" s="8" t="s">
        <v>57</v>
      </c>
      <c r="C220" s="34">
        <v>400065155</v>
      </c>
      <c r="D220" s="9">
        <v>400065155</v>
      </c>
      <c r="E220" s="31">
        <v>120</v>
      </c>
      <c r="F220" s="8">
        <v>20.6</v>
      </c>
      <c r="G220" s="35">
        <v>1.7328768937387435</v>
      </c>
      <c r="H220" s="8">
        <v>47</v>
      </c>
      <c r="I220" s="8">
        <v>35</v>
      </c>
      <c r="J220" s="8">
        <v>27.8</v>
      </c>
      <c r="K220" s="17">
        <f t="shared" si="9"/>
        <v>1.541994750656168</v>
      </c>
      <c r="L220" s="17">
        <f t="shared" si="10"/>
        <v>1.1482939632545932</v>
      </c>
      <c r="M220" s="17">
        <f t="shared" si="11"/>
        <v>0.9120734908136483</v>
      </c>
    </row>
    <row r="221" spans="1:13" x14ac:dyDescent="0.3">
      <c r="A221" s="33" t="s">
        <v>286</v>
      </c>
      <c r="B221" s="8" t="s">
        <v>57</v>
      </c>
      <c r="C221" s="34">
        <v>400065156</v>
      </c>
      <c r="D221" s="9">
        <v>400065156</v>
      </c>
      <c r="E221" s="31">
        <v>240</v>
      </c>
      <c r="F221" s="8">
        <v>11.85</v>
      </c>
      <c r="G221" s="32">
        <v>1.2814916834410424</v>
      </c>
      <c r="H221" s="8">
        <v>47</v>
      </c>
      <c r="I221" s="8">
        <v>25</v>
      </c>
      <c r="J221" s="8">
        <v>28</v>
      </c>
      <c r="K221" s="17">
        <f t="shared" si="9"/>
        <v>1.541994750656168</v>
      </c>
      <c r="L221" s="17">
        <f t="shared" si="10"/>
        <v>0.82020997375328086</v>
      </c>
      <c r="M221" s="17">
        <f t="shared" si="11"/>
        <v>0.9186351706036745</v>
      </c>
    </row>
    <row r="222" spans="1:13" x14ac:dyDescent="0.3">
      <c r="A222" s="33" t="s">
        <v>287</v>
      </c>
      <c r="B222" s="8" t="s">
        <v>57</v>
      </c>
      <c r="C222" s="34">
        <v>400065157</v>
      </c>
      <c r="D222" s="9">
        <v>400065157</v>
      </c>
      <c r="E222" s="31">
        <v>180</v>
      </c>
      <c r="F222" s="8">
        <v>18.5</v>
      </c>
      <c r="G222" s="35">
        <v>1.8928647102447294</v>
      </c>
      <c r="H222" s="8">
        <v>53.5</v>
      </c>
      <c r="I222" s="8">
        <v>41</v>
      </c>
      <c r="J222" s="8">
        <v>26</v>
      </c>
      <c r="K222" s="17">
        <f t="shared" si="9"/>
        <v>1.7552493438320209</v>
      </c>
      <c r="L222" s="17">
        <f t="shared" si="10"/>
        <v>1.3451443569553805</v>
      </c>
      <c r="M222" s="17">
        <f t="shared" si="11"/>
        <v>0.85301837270341208</v>
      </c>
    </row>
    <row r="223" spans="1:13" x14ac:dyDescent="0.3">
      <c r="A223" s="33" t="s">
        <v>288</v>
      </c>
      <c r="B223" s="8" t="s">
        <v>57</v>
      </c>
      <c r="C223" s="34">
        <v>400065158</v>
      </c>
      <c r="D223" s="9">
        <v>400065158</v>
      </c>
      <c r="E223" s="31">
        <v>120</v>
      </c>
      <c r="F223" s="8">
        <v>20.6</v>
      </c>
      <c r="G223" s="32">
        <v>1.7328768937387435</v>
      </c>
      <c r="H223" s="8">
        <v>48</v>
      </c>
      <c r="I223" s="8">
        <v>35</v>
      </c>
      <c r="J223" s="8">
        <v>28</v>
      </c>
      <c r="K223" s="17">
        <f t="shared" si="9"/>
        <v>1.5748031496062991</v>
      </c>
      <c r="L223" s="17">
        <f t="shared" si="10"/>
        <v>1.1482939632545932</v>
      </c>
      <c r="M223" s="17">
        <f t="shared" si="11"/>
        <v>0.9186351706036745</v>
      </c>
    </row>
    <row r="224" spans="1:13" x14ac:dyDescent="0.3">
      <c r="A224" s="33" t="s">
        <v>289</v>
      </c>
      <c r="B224" s="8" t="s">
        <v>57</v>
      </c>
      <c r="C224" s="34">
        <v>400065160</v>
      </c>
      <c r="D224" s="9">
        <v>400065160</v>
      </c>
      <c r="E224" s="31">
        <v>240</v>
      </c>
      <c r="F224" s="8">
        <v>11.7</v>
      </c>
      <c r="G224" s="32">
        <v>1.2814916834410424</v>
      </c>
      <c r="H224" s="8">
        <v>47</v>
      </c>
      <c r="I224" s="8">
        <v>25.5</v>
      </c>
      <c r="J224" s="8">
        <v>27.5</v>
      </c>
      <c r="K224" s="17">
        <f t="shared" si="9"/>
        <v>1.541994750656168</v>
      </c>
      <c r="L224" s="17">
        <f t="shared" si="10"/>
        <v>0.83661417322834641</v>
      </c>
      <c r="M224" s="17">
        <f t="shared" si="11"/>
        <v>0.90223097112860895</v>
      </c>
    </row>
    <row r="225" spans="1:13" x14ac:dyDescent="0.3">
      <c r="A225" s="39" t="s">
        <v>290</v>
      </c>
      <c r="B225" s="8" t="s">
        <v>57</v>
      </c>
      <c r="C225" s="40">
        <v>400065281</v>
      </c>
      <c r="D225" s="9">
        <v>400065281</v>
      </c>
      <c r="E225" s="31">
        <v>36</v>
      </c>
      <c r="F225" s="8">
        <v>3.1</v>
      </c>
      <c r="G225" s="32">
        <v>0.58735416666666673</v>
      </c>
      <c r="H225" s="8">
        <v>43</v>
      </c>
      <c r="I225" s="8">
        <v>26</v>
      </c>
      <c r="J225" s="8">
        <v>17</v>
      </c>
      <c r="K225" s="17">
        <f t="shared" si="9"/>
        <v>1.4107611548556431</v>
      </c>
      <c r="L225" s="17">
        <f t="shared" si="10"/>
        <v>0.85301837270341208</v>
      </c>
      <c r="M225" s="17">
        <f t="shared" si="11"/>
        <v>0.55774278215223094</v>
      </c>
    </row>
    <row r="226" spans="1:13" x14ac:dyDescent="0.3">
      <c r="A226" s="29" t="s">
        <v>291</v>
      </c>
      <c r="B226" s="8" t="s">
        <v>57</v>
      </c>
      <c r="C226" s="34">
        <v>400065180</v>
      </c>
      <c r="D226" s="9">
        <v>400065180</v>
      </c>
      <c r="E226" s="31">
        <v>24</v>
      </c>
      <c r="F226" s="8">
        <v>1.4</v>
      </c>
      <c r="G226" s="32">
        <v>0.22905601366758283</v>
      </c>
      <c r="H226" s="8">
        <v>26</v>
      </c>
      <c r="I226" s="8">
        <v>17.8</v>
      </c>
      <c r="J226" s="8">
        <v>16</v>
      </c>
      <c r="K226" s="17">
        <f t="shared" si="9"/>
        <v>0.85301837270341208</v>
      </c>
      <c r="L226" s="17">
        <f t="shared" si="10"/>
        <v>0.58398950131233596</v>
      </c>
      <c r="M226" s="17">
        <f t="shared" si="11"/>
        <v>0.52493438320209973</v>
      </c>
    </row>
    <row r="227" spans="1:13" x14ac:dyDescent="0.3">
      <c r="A227" s="33" t="s">
        <v>292</v>
      </c>
      <c r="B227" s="8" t="s">
        <v>76</v>
      </c>
      <c r="C227" s="34">
        <v>401179317</v>
      </c>
      <c r="D227" s="9">
        <v>401179317</v>
      </c>
      <c r="E227" s="31">
        <v>24</v>
      </c>
      <c r="F227" s="8">
        <v>11.9</v>
      </c>
      <c r="G227" s="32">
        <v>1.353003496133065</v>
      </c>
      <c r="H227" s="8">
        <v>40</v>
      </c>
      <c r="I227" s="8">
        <v>32.5</v>
      </c>
      <c r="J227" s="8">
        <v>24.5</v>
      </c>
      <c r="K227" s="17">
        <f t="shared" si="9"/>
        <v>1.3123359580052494</v>
      </c>
      <c r="L227" s="17">
        <f t="shared" si="10"/>
        <v>1.0662729658792651</v>
      </c>
      <c r="M227" s="17">
        <f t="shared" si="11"/>
        <v>0.8038057742782152</v>
      </c>
    </row>
    <row r="228" spans="1:13" x14ac:dyDescent="0.3">
      <c r="A228" s="33" t="s">
        <v>293</v>
      </c>
      <c r="B228" s="8" t="s">
        <v>76</v>
      </c>
      <c r="C228" s="34">
        <v>401179379</v>
      </c>
      <c r="D228" s="9">
        <v>401179379</v>
      </c>
      <c r="E228" s="31">
        <v>12</v>
      </c>
      <c r="F228" s="8">
        <v>9.0500000000000007</v>
      </c>
      <c r="G228" s="32">
        <v>3.3967581311579615</v>
      </c>
      <c r="H228" s="8">
        <v>50.5</v>
      </c>
      <c r="I228" s="8">
        <v>46.5</v>
      </c>
      <c r="J228" s="8">
        <v>39</v>
      </c>
      <c r="K228" s="17">
        <f t="shared" si="9"/>
        <v>1.6568241469816272</v>
      </c>
      <c r="L228" s="17">
        <f t="shared" si="10"/>
        <v>1.5255905511811023</v>
      </c>
      <c r="M228" s="17">
        <f t="shared" si="11"/>
        <v>1.2795275590551181</v>
      </c>
    </row>
    <row r="229" spans="1:13" x14ac:dyDescent="0.3">
      <c r="A229" s="33" t="s">
        <v>294</v>
      </c>
      <c r="B229" s="8" t="s">
        <v>76</v>
      </c>
      <c r="C229" s="34">
        <v>401179282</v>
      </c>
      <c r="D229" s="9">
        <v>401179282</v>
      </c>
      <c r="E229" s="31">
        <v>24</v>
      </c>
      <c r="F229" s="8">
        <v>12.4</v>
      </c>
      <c r="G229" s="32">
        <v>4.2589257336582271</v>
      </c>
      <c r="H229" s="8">
        <v>66.5</v>
      </c>
      <c r="I229" s="8">
        <v>51.5</v>
      </c>
      <c r="J229" s="8">
        <v>35.5</v>
      </c>
      <c r="K229" s="17">
        <f t="shared" si="9"/>
        <v>2.181758530183727</v>
      </c>
      <c r="L229" s="17">
        <f t="shared" si="10"/>
        <v>1.6896325459317585</v>
      </c>
      <c r="M229" s="17">
        <f t="shared" si="11"/>
        <v>1.1646981627296589</v>
      </c>
    </row>
    <row r="230" spans="1:13" x14ac:dyDescent="0.3">
      <c r="A230" s="33" t="s">
        <v>295</v>
      </c>
      <c r="B230" s="8" t="s">
        <v>76</v>
      </c>
      <c r="C230" s="34">
        <v>401179255</v>
      </c>
      <c r="D230" s="9">
        <v>401179255</v>
      </c>
      <c r="E230" s="31">
        <v>24</v>
      </c>
      <c r="F230" s="8">
        <v>10.7</v>
      </c>
      <c r="G230" s="32">
        <v>1.103188897128933</v>
      </c>
      <c r="H230" s="8">
        <v>44.5</v>
      </c>
      <c r="I230" s="8">
        <v>39.5</v>
      </c>
      <c r="J230" s="8">
        <v>18</v>
      </c>
      <c r="K230" s="17">
        <f t="shared" si="9"/>
        <v>1.4599737532808399</v>
      </c>
      <c r="L230" s="17">
        <f t="shared" si="10"/>
        <v>1.2959317585301837</v>
      </c>
      <c r="M230" s="17">
        <f t="shared" si="11"/>
        <v>0.59055118110236215</v>
      </c>
    </row>
    <row r="231" spans="1:13" x14ac:dyDescent="0.3">
      <c r="A231" s="33" t="s">
        <v>296</v>
      </c>
      <c r="B231" s="8" t="s">
        <v>76</v>
      </c>
      <c r="C231" s="34">
        <v>401179248</v>
      </c>
      <c r="D231" s="9" t="s">
        <v>297</v>
      </c>
      <c r="E231" s="31">
        <v>24</v>
      </c>
      <c r="F231" s="8">
        <v>11.2</v>
      </c>
      <c r="G231" s="32">
        <v>1.1756409577285729</v>
      </c>
      <c r="H231" s="8">
        <v>38.5</v>
      </c>
      <c r="I231" s="8">
        <v>33.5</v>
      </c>
      <c r="J231" s="8">
        <v>26.5</v>
      </c>
      <c r="K231" s="17">
        <f t="shared" si="9"/>
        <v>1.2631233595800524</v>
      </c>
      <c r="L231" s="17">
        <f t="shared" si="10"/>
        <v>1.0990813648293962</v>
      </c>
      <c r="M231" s="17">
        <f t="shared" si="11"/>
        <v>0.86942257217847763</v>
      </c>
    </row>
    <row r="232" spans="1:13" x14ac:dyDescent="0.3">
      <c r="A232" s="29" t="s">
        <v>298</v>
      </c>
      <c r="B232" s="8" t="s">
        <v>76</v>
      </c>
      <c r="C232" s="30">
        <v>401179503</v>
      </c>
      <c r="D232" s="9">
        <v>401179503</v>
      </c>
      <c r="E232" s="31">
        <v>48</v>
      </c>
      <c r="F232" s="8">
        <v>9.9</v>
      </c>
      <c r="G232" s="32">
        <v>2.1920833333333336</v>
      </c>
      <c r="H232" s="8">
        <v>49.5</v>
      </c>
      <c r="I232" s="8">
        <v>45</v>
      </c>
      <c r="J232" s="8">
        <v>29</v>
      </c>
      <c r="K232" s="17">
        <f t="shared" si="9"/>
        <v>1.6240157480314961</v>
      </c>
      <c r="L232" s="17">
        <f t="shared" si="10"/>
        <v>1.4763779527559056</v>
      </c>
      <c r="M232" s="17">
        <f t="shared" si="11"/>
        <v>0.95144356955380571</v>
      </c>
    </row>
    <row r="233" spans="1:13" x14ac:dyDescent="0.3">
      <c r="A233" s="33" t="s">
        <v>299</v>
      </c>
      <c r="B233" s="8" t="s">
        <v>76</v>
      </c>
      <c r="C233" s="34">
        <v>401179243</v>
      </c>
      <c r="D233" s="9">
        <v>401179243</v>
      </c>
      <c r="E233" s="31">
        <v>128</v>
      </c>
      <c r="F233" s="8">
        <v>10.199999999999999</v>
      </c>
      <c r="G233" s="32">
        <v>3.5351202457887489</v>
      </c>
      <c r="H233" s="8">
        <v>48</v>
      </c>
      <c r="I233" s="8">
        <v>48</v>
      </c>
      <c r="J233" s="8">
        <v>43.5</v>
      </c>
      <c r="K233" s="17">
        <f t="shared" si="9"/>
        <v>1.5748031496062991</v>
      </c>
      <c r="L233" s="17">
        <f t="shared" si="10"/>
        <v>1.5748031496062991</v>
      </c>
      <c r="M233" s="17">
        <f t="shared" si="11"/>
        <v>1.4271653543307086</v>
      </c>
    </row>
    <row r="234" spans="1:13" x14ac:dyDescent="0.3">
      <c r="A234" s="33" t="s">
        <v>300</v>
      </c>
      <c r="B234" s="8" t="s">
        <v>76</v>
      </c>
      <c r="C234" s="34">
        <v>401179244</v>
      </c>
      <c r="D234" s="9">
        <v>401179244</v>
      </c>
      <c r="E234" s="31">
        <v>128</v>
      </c>
      <c r="F234" s="8">
        <v>10.199999999999999</v>
      </c>
      <c r="G234" s="32">
        <v>3.5351202457887489</v>
      </c>
      <c r="H234" s="8">
        <v>48</v>
      </c>
      <c r="I234" s="8">
        <v>48</v>
      </c>
      <c r="J234" s="8">
        <v>43.5</v>
      </c>
      <c r="K234" s="17">
        <f t="shared" si="9"/>
        <v>1.5748031496062991</v>
      </c>
      <c r="L234" s="17">
        <f t="shared" si="10"/>
        <v>1.5748031496062991</v>
      </c>
      <c r="M234" s="17">
        <f t="shared" si="11"/>
        <v>1.4271653543307086</v>
      </c>
    </row>
    <row r="235" spans="1:13" x14ac:dyDescent="0.3">
      <c r="A235" s="33" t="s">
        <v>301</v>
      </c>
      <c r="B235" s="8" t="s">
        <v>76</v>
      </c>
      <c r="C235" s="34">
        <v>401179382</v>
      </c>
      <c r="D235" s="9">
        <v>401179382</v>
      </c>
      <c r="E235" s="31">
        <v>10</v>
      </c>
      <c r="F235" s="8">
        <v>8.1999999999999993</v>
      </c>
      <c r="G235" s="32">
        <v>2.4303553637728443</v>
      </c>
      <c r="H235" s="8">
        <v>77</v>
      </c>
      <c r="I235" s="8">
        <v>49</v>
      </c>
      <c r="J235" s="8">
        <v>18</v>
      </c>
      <c r="K235" s="17">
        <f t="shared" si="9"/>
        <v>2.5262467191601048</v>
      </c>
      <c r="L235" s="17">
        <f t="shared" si="10"/>
        <v>1.6076115485564304</v>
      </c>
      <c r="M235" s="17">
        <f t="shared" si="11"/>
        <v>0.59055118110236215</v>
      </c>
    </row>
    <row r="236" spans="1:13" x14ac:dyDescent="0.3">
      <c r="A236" s="33" t="s">
        <v>302</v>
      </c>
      <c r="B236" s="8" t="s">
        <v>76</v>
      </c>
      <c r="C236" s="34">
        <v>401179383</v>
      </c>
      <c r="D236" s="9">
        <v>401179383</v>
      </c>
      <c r="E236" s="31">
        <v>10</v>
      </c>
      <c r="F236" s="8">
        <v>7.9</v>
      </c>
      <c r="G236" s="32">
        <v>2.5479532039554016</v>
      </c>
      <c r="H236" s="8">
        <v>74.5</v>
      </c>
      <c r="I236" s="8">
        <v>47.5</v>
      </c>
      <c r="J236" s="8">
        <v>29</v>
      </c>
      <c r="K236" s="17">
        <f t="shared" si="9"/>
        <v>2.4442257217847767</v>
      </c>
      <c r="L236" s="17">
        <f t="shared" si="10"/>
        <v>1.5583989501312336</v>
      </c>
      <c r="M236" s="17">
        <f t="shared" si="11"/>
        <v>0.95144356955380571</v>
      </c>
    </row>
    <row r="237" spans="1:13" x14ac:dyDescent="0.3">
      <c r="A237" s="33" t="s">
        <v>303</v>
      </c>
      <c r="B237" s="8" t="s">
        <v>76</v>
      </c>
      <c r="C237" s="34">
        <v>401179384</v>
      </c>
      <c r="D237" s="9">
        <v>401179384</v>
      </c>
      <c r="E237" s="31">
        <v>10</v>
      </c>
      <c r="F237" s="8">
        <v>7.9</v>
      </c>
      <c r="G237" s="32">
        <v>2.8633484924450157</v>
      </c>
      <c r="H237" s="8">
        <v>77.5</v>
      </c>
      <c r="I237" s="8">
        <v>45</v>
      </c>
      <c r="J237" s="8">
        <v>29</v>
      </c>
      <c r="K237" s="17">
        <f t="shared" si="9"/>
        <v>2.5426509186351707</v>
      </c>
      <c r="L237" s="17">
        <f t="shared" si="10"/>
        <v>1.4763779527559056</v>
      </c>
      <c r="M237" s="17">
        <f t="shared" si="11"/>
        <v>0.95144356955380571</v>
      </c>
    </row>
    <row r="238" spans="1:13" x14ac:dyDescent="0.3">
      <c r="A238" s="33" t="s">
        <v>304</v>
      </c>
      <c r="B238" s="8" t="s">
        <v>76</v>
      </c>
      <c r="C238" s="34">
        <v>401179389</v>
      </c>
      <c r="D238" s="9">
        <v>401179389</v>
      </c>
      <c r="E238" s="31">
        <v>64</v>
      </c>
      <c r="F238" s="8">
        <v>6.4</v>
      </c>
      <c r="G238" s="32">
        <v>2.8537075884300496</v>
      </c>
      <c r="H238" s="8">
        <v>57.5</v>
      </c>
      <c r="I238" s="8">
        <v>41.5</v>
      </c>
      <c r="J238" s="8">
        <v>35.5</v>
      </c>
      <c r="K238" s="17">
        <f t="shared" si="9"/>
        <v>1.886482939632546</v>
      </c>
      <c r="L238" s="17">
        <f t="shared" si="10"/>
        <v>1.3615485564304461</v>
      </c>
      <c r="M238" s="17">
        <f t="shared" si="11"/>
        <v>1.1646981627296589</v>
      </c>
    </row>
    <row r="239" spans="1:13" x14ac:dyDescent="0.3">
      <c r="A239" s="33" t="s">
        <v>305</v>
      </c>
      <c r="B239" s="8" t="s">
        <v>76</v>
      </c>
      <c r="C239" s="34">
        <v>401179390</v>
      </c>
      <c r="D239" s="9">
        <v>401179390</v>
      </c>
      <c r="E239" s="31">
        <v>64</v>
      </c>
      <c r="F239" s="8">
        <v>5.95</v>
      </c>
      <c r="G239" s="32">
        <v>2.7037037037037037</v>
      </c>
      <c r="H239" s="8">
        <v>55</v>
      </c>
      <c r="I239" s="8">
        <v>42.5</v>
      </c>
      <c r="J239" s="8">
        <v>37.5</v>
      </c>
      <c r="K239" s="17">
        <f t="shared" si="9"/>
        <v>1.8044619422572179</v>
      </c>
      <c r="L239" s="17">
        <f t="shared" si="10"/>
        <v>1.3943569553805775</v>
      </c>
      <c r="M239" s="17">
        <f t="shared" si="11"/>
        <v>1.2303149606299213</v>
      </c>
    </row>
    <row r="240" spans="1:13" x14ac:dyDescent="0.3">
      <c r="A240" s="33" t="s">
        <v>306</v>
      </c>
      <c r="B240" s="8" t="s">
        <v>76</v>
      </c>
      <c r="C240" s="34">
        <v>401179391</v>
      </c>
      <c r="D240" s="9">
        <v>401179391</v>
      </c>
      <c r="E240" s="31">
        <v>64</v>
      </c>
      <c r="F240" s="8">
        <v>7.9</v>
      </c>
      <c r="G240" s="32">
        <v>3.0355074927122727</v>
      </c>
      <c r="H240" s="8">
        <v>59.8</v>
      </c>
      <c r="I240" s="8">
        <v>42.5</v>
      </c>
      <c r="J240" s="8">
        <v>42.3</v>
      </c>
      <c r="K240" s="17">
        <f t="shared" si="9"/>
        <v>1.9619422572178475</v>
      </c>
      <c r="L240" s="17">
        <f t="shared" si="10"/>
        <v>1.3943569553805775</v>
      </c>
      <c r="M240" s="17">
        <f t="shared" si="11"/>
        <v>1.3877952755905512</v>
      </c>
    </row>
    <row r="241" spans="1:13" x14ac:dyDescent="0.3">
      <c r="A241" s="33" t="s">
        <v>307</v>
      </c>
      <c r="B241" s="8" t="s">
        <v>76</v>
      </c>
      <c r="C241" s="34">
        <v>401179304</v>
      </c>
      <c r="D241" s="34">
        <v>401179304</v>
      </c>
      <c r="E241" s="31">
        <v>8</v>
      </c>
      <c r="F241" s="8">
        <v>7.6</v>
      </c>
      <c r="G241" s="32">
        <v>5.4819366458311256</v>
      </c>
      <c r="H241" s="8">
        <v>51</v>
      </c>
      <c r="I241" s="8">
        <v>36.5</v>
      </c>
      <c r="J241" s="8">
        <v>45</v>
      </c>
      <c r="K241" s="17">
        <f t="shared" si="9"/>
        <v>1.6732283464566928</v>
      </c>
      <c r="L241" s="17">
        <f t="shared" si="10"/>
        <v>1.19750656167979</v>
      </c>
      <c r="M241" s="17">
        <f t="shared" si="11"/>
        <v>1.4763779527559056</v>
      </c>
    </row>
    <row r="242" spans="1:13" x14ac:dyDescent="0.3">
      <c r="A242" s="33" t="s">
        <v>308</v>
      </c>
      <c r="B242" s="8" t="s">
        <v>76</v>
      </c>
      <c r="C242" s="34">
        <v>401179339</v>
      </c>
      <c r="D242" s="9">
        <v>401179339</v>
      </c>
      <c r="E242" s="31">
        <v>6</v>
      </c>
      <c r="F242" s="8">
        <v>10.35</v>
      </c>
      <c r="G242" s="32">
        <v>3.5305646784617011</v>
      </c>
      <c r="H242" s="8">
        <v>72</v>
      </c>
      <c r="I242" s="8">
        <v>46</v>
      </c>
      <c r="J242" s="8">
        <v>29</v>
      </c>
      <c r="K242" s="17">
        <f t="shared" si="9"/>
        <v>2.3622047244094486</v>
      </c>
      <c r="L242" s="17">
        <f t="shared" si="10"/>
        <v>1.5091863517060367</v>
      </c>
      <c r="M242" s="17">
        <f t="shared" si="11"/>
        <v>0.95144356955380571</v>
      </c>
    </row>
    <row r="243" spans="1:13" x14ac:dyDescent="0.3">
      <c r="A243" s="33" t="s">
        <v>309</v>
      </c>
      <c r="B243" s="8" t="s">
        <v>76</v>
      </c>
      <c r="C243" s="34">
        <v>401179340</v>
      </c>
      <c r="D243" s="9">
        <v>401179340</v>
      </c>
      <c r="E243" s="31">
        <v>6</v>
      </c>
      <c r="F243" s="8">
        <v>10.4</v>
      </c>
      <c r="G243" s="35">
        <v>4.1159021082741818</v>
      </c>
      <c r="H243" s="8">
        <v>69</v>
      </c>
      <c r="I243" s="8">
        <v>57</v>
      </c>
      <c r="J243" s="8">
        <v>30.5</v>
      </c>
      <c r="K243" s="17">
        <f t="shared" si="9"/>
        <v>2.2637795275590551</v>
      </c>
      <c r="L243" s="17">
        <f t="shared" si="10"/>
        <v>1.8700787401574803</v>
      </c>
      <c r="M243" s="17">
        <f t="shared" si="11"/>
        <v>1.0006561679790027</v>
      </c>
    </row>
    <row r="244" spans="1:13" x14ac:dyDescent="0.3">
      <c r="A244" s="33" t="s">
        <v>310</v>
      </c>
      <c r="B244" s="8" t="s">
        <v>76</v>
      </c>
      <c r="C244" s="34">
        <v>401179381</v>
      </c>
      <c r="D244" s="9">
        <v>401179381</v>
      </c>
      <c r="E244" s="31">
        <v>6</v>
      </c>
      <c r="F244" s="8">
        <v>9.9499999999999993</v>
      </c>
      <c r="G244" s="32">
        <v>4.8548854166666668</v>
      </c>
      <c r="H244" s="8">
        <v>78</v>
      </c>
      <c r="I244" s="8">
        <v>47.5</v>
      </c>
      <c r="J244" s="8">
        <v>24.5</v>
      </c>
      <c r="K244" s="17">
        <f t="shared" si="9"/>
        <v>2.5590551181102361</v>
      </c>
      <c r="L244" s="17">
        <f t="shared" si="10"/>
        <v>1.5583989501312336</v>
      </c>
      <c r="M244" s="17">
        <f t="shared" si="11"/>
        <v>0.8038057742782152</v>
      </c>
    </row>
    <row r="245" spans="1:13" x14ac:dyDescent="0.3">
      <c r="A245" s="33" t="s">
        <v>311</v>
      </c>
      <c r="B245" s="8" t="s">
        <v>76</v>
      </c>
      <c r="C245" s="34">
        <v>401179341</v>
      </c>
      <c r="D245" s="9">
        <v>401179341</v>
      </c>
      <c r="E245" s="31">
        <v>6</v>
      </c>
      <c r="F245" s="8">
        <v>9.9</v>
      </c>
      <c r="G245" s="35">
        <v>3.7135215484691164</v>
      </c>
      <c r="H245" s="8">
        <v>82</v>
      </c>
      <c r="I245" s="8">
        <v>47</v>
      </c>
      <c r="J245" s="8">
        <v>28.5</v>
      </c>
      <c r="K245" s="17">
        <f t="shared" si="9"/>
        <v>2.690288713910761</v>
      </c>
      <c r="L245" s="17">
        <f t="shared" si="10"/>
        <v>1.541994750656168</v>
      </c>
      <c r="M245" s="17">
        <f t="shared" si="11"/>
        <v>0.93503937007874016</v>
      </c>
    </row>
    <row r="246" spans="1:13" x14ac:dyDescent="0.3">
      <c r="A246" s="33" t="s">
        <v>312</v>
      </c>
      <c r="B246" s="8" t="s">
        <v>76</v>
      </c>
      <c r="C246" s="34">
        <v>401179334</v>
      </c>
      <c r="D246" s="9">
        <v>401179334</v>
      </c>
      <c r="E246" s="31">
        <v>24</v>
      </c>
      <c r="F246" s="8">
        <v>5.6</v>
      </c>
      <c r="G246" s="32">
        <v>2.0723333333333334</v>
      </c>
      <c r="H246" s="8">
        <v>56.5</v>
      </c>
      <c r="I246" s="8">
        <v>37</v>
      </c>
      <c r="J246" s="8">
        <v>28.5</v>
      </c>
      <c r="K246" s="17">
        <f t="shared" si="9"/>
        <v>1.8536745406824147</v>
      </c>
      <c r="L246" s="17">
        <f t="shared" si="10"/>
        <v>1.2139107611548556</v>
      </c>
      <c r="M246" s="17">
        <f t="shared" si="11"/>
        <v>0.93503937007874016</v>
      </c>
    </row>
    <row r="247" spans="1:13" x14ac:dyDescent="0.3">
      <c r="A247" s="33" t="s">
        <v>313</v>
      </c>
      <c r="B247" s="8" t="s">
        <v>76</v>
      </c>
      <c r="C247" s="34">
        <v>401179218</v>
      </c>
      <c r="D247" s="9" t="s">
        <v>314</v>
      </c>
      <c r="E247" s="31">
        <v>24</v>
      </c>
      <c r="F247" s="8">
        <v>15.1</v>
      </c>
      <c r="G247" s="32">
        <v>4.8278419324080932</v>
      </c>
      <c r="H247" s="8">
        <v>82</v>
      </c>
      <c r="I247" s="8">
        <v>30</v>
      </c>
      <c r="J247" s="8">
        <v>54.5</v>
      </c>
      <c r="K247" s="17">
        <f t="shared" si="9"/>
        <v>2.690288713910761</v>
      </c>
      <c r="L247" s="17">
        <f t="shared" si="10"/>
        <v>0.98425196850393704</v>
      </c>
      <c r="M247" s="17">
        <f t="shared" si="11"/>
        <v>1.7880577427821522</v>
      </c>
    </row>
    <row r="248" spans="1:13" x14ac:dyDescent="0.3">
      <c r="A248" s="33" t="s">
        <v>315</v>
      </c>
      <c r="B248" s="8" t="s">
        <v>76</v>
      </c>
      <c r="C248" s="38">
        <v>401179534</v>
      </c>
      <c r="D248" s="9">
        <v>401179534</v>
      </c>
      <c r="E248" s="31">
        <v>48</v>
      </c>
      <c r="F248" s="8">
        <v>15</v>
      </c>
      <c r="G248" s="35">
        <v>5.7055920471801382</v>
      </c>
      <c r="H248" s="8">
        <v>77</v>
      </c>
      <c r="I248" s="8">
        <v>54.5</v>
      </c>
      <c r="J248" s="8">
        <v>34.5</v>
      </c>
      <c r="K248" s="17">
        <f t="shared" si="9"/>
        <v>2.5262467191601048</v>
      </c>
      <c r="L248" s="17">
        <f t="shared" si="10"/>
        <v>1.7880577427821522</v>
      </c>
      <c r="M248" s="17">
        <f t="shared" si="11"/>
        <v>1.1318897637795275</v>
      </c>
    </row>
    <row r="249" spans="1:13" x14ac:dyDescent="0.3">
      <c r="A249" s="33" t="s">
        <v>316</v>
      </c>
      <c r="B249" s="8" t="s">
        <v>76</v>
      </c>
      <c r="C249" s="34">
        <v>401179357</v>
      </c>
      <c r="D249" s="9">
        <v>401179357</v>
      </c>
      <c r="E249" s="31">
        <v>48</v>
      </c>
      <c r="F249" s="8">
        <v>8</v>
      </c>
      <c r="G249" s="32">
        <v>2.1256003460818587</v>
      </c>
      <c r="H249" s="8">
        <v>52</v>
      </c>
      <c r="I249" s="8">
        <v>43</v>
      </c>
      <c r="J249" s="8">
        <v>28.5</v>
      </c>
      <c r="K249" s="17">
        <f t="shared" si="9"/>
        <v>1.7060367454068242</v>
      </c>
      <c r="L249" s="17">
        <f t="shared" si="10"/>
        <v>1.4107611548556431</v>
      </c>
      <c r="M249" s="17">
        <f t="shared" si="11"/>
        <v>0.93503937007874016</v>
      </c>
    </row>
    <row r="250" spans="1:13" x14ac:dyDescent="0.3">
      <c r="A250" s="33" t="s">
        <v>317</v>
      </c>
      <c r="B250" s="8" t="s">
        <v>76</v>
      </c>
      <c r="C250" s="34">
        <v>401179338</v>
      </c>
      <c r="D250" s="9">
        <v>401179338</v>
      </c>
      <c r="E250" s="31">
        <v>48</v>
      </c>
      <c r="F250" s="8">
        <v>9.3000000000000007</v>
      </c>
      <c r="G250" s="32">
        <v>2.1360578451107104</v>
      </c>
      <c r="H250" s="8">
        <v>52</v>
      </c>
      <c r="I250" s="8">
        <v>43</v>
      </c>
      <c r="J250" s="8">
        <v>27.4</v>
      </c>
      <c r="K250" s="17">
        <f t="shared" si="9"/>
        <v>1.7060367454068242</v>
      </c>
      <c r="L250" s="17">
        <f t="shared" si="10"/>
        <v>1.4107611548556431</v>
      </c>
      <c r="M250" s="17">
        <f t="shared" si="11"/>
        <v>0.89895013123359579</v>
      </c>
    </row>
    <row r="251" spans="1:13" x14ac:dyDescent="0.3">
      <c r="A251" s="33" t="s">
        <v>318</v>
      </c>
      <c r="B251" s="8" t="s">
        <v>76</v>
      </c>
      <c r="C251" s="34">
        <v>401179183</v>
      </c>
      <c r="D251" s="9" t="s">
        <v>319</v>
      </c>
      <c r="E251" s="31">
        <v>120</v>
      </c>
      <c r="F251" s="8">
        <v>10</v>
      </c>
      <c r="G251" s="32">
        <v>3.4340277777777777</v>
      </c>
      <c r="H251" s="8">
        <v>59</v>
      </c>
      <c r="I251" s="8">
        <v>35.5</v>
      </c>
      <c r="J251" s="8">
        <v>48.5</v>
      </c>
      <c r="K251" s="17">
        <f t="shared" si="9"/>
        <v>1.9356955380577427</v>
      </c>
      <c r="L251" s="17">
        <f t="shared" si="10"/>
        <v>1.1646981627296589</v>
      </c>
      <c r="M251" s="17">
        <f t="shared" si="11"/>
        <v>1.5912073490813647</v>
      </c>
    </row>
    <row r="252" spans="1:13" x14ac:dyDescent="0.3">
      <c r="A252" s="33" t="s">
        <v>320</v>
      </c>
      <c r="B252" s="8" t="s">
        <v>76</v>
      </c>
      <c r="C252" s="34">
        <v>401179184</v>
      </c>
      <c r="D252" s="9" t="s">
        <v>321</v>
      </c>
      <c r="E252" s="31">
        <v>120</v>
      </c>
      <c r="F252" s="8">
        <v>8.15</v>
      </c>
      <c r="G252" s="32">
        <v>2.7752984073171594</v>
      </c>
      <c r="H252" s="8">
        <v>56.5</v>
      </c>
      <c r="I252" s="8">
        <v>35.5</v>
      </c>
      <c r="J252" s="8">
        <v>38.5</v>
      </c>
      <c r="K252" s="17">
        <f t="shared" si="9"/>
        <v>1.8536745406824147</v>
      </c>
      <c r="L252" s="17">
        <f t="shared" si="10"/>
        <v>1.1646981627296589</v>
      </c>
      <c r="M252" s="17">
        <f t="shared" si="11"/>
        <v>1.2631233595800524</v>
      </c>
    </row>
    <row r="253" spans="1:13" x14ac:dyDescent="0.3">
      <c r="A253" s="33" t="s">
        <v>322</v>
      </c>
      <c r="B253" s="8" t="s">
        <v>323</v>
      </c>
      <c r="C253" s="34">
        <v>401378004</v>
      </c>
      <c r="D253" s="9" t="s">
        <v>324</v>
      </c>
      <c r="E253" s="31">
        <v>40</v>
      </c>
      <c r="F253" s="8">
        <v>7.1</v>
      </c>
      <c r="G253" s="32">
        <v>0.35761574074074071</v>
      </c>
      <c r="H253" s="8">
        <v>43</v>
      </c>
      <c r="I253" s="8">
        <v>35.6</v>
      </c>
      <c r="J253" s="8">
        <v>16.5</v>
      </c>
      <c r="K253" s="17">
        <f t="shared" si="9"/>
        <v>1.4107611548556431</v>
      </c>
      <c r="L253" s="17">
        <f t="shared" si="10"/>
        <v>1.1679790026246719</v>
      </c>
      <c r="M253" s="17">
        <f t="shared" si="11"/>
        <v>0.54133858267716539</v>
      </c>
    </row>
    <row r="254" spans="1:13" x14ac:dyDescent="0.3">
      <c r="A254" s="33" t="s">
        <v>325</v>
      </c>
      <c r="B254" s="8" t="s">
        <v>160</v>
      </c>
      <c r="C254" s="34">
        <v>401181010</v>
      </c>
      <c r="D254" s="9">
        <v>401181010</v>
      </c>
      <c r="E254" s="31">
        <v>48</v>
      </c>
      <c r="F254" s="8">
        <v>7.15</v>
      </c>
      <c r="G254" s="32">
        <v>1.0975076808984001</v>
      </c>
      <c r="H254" s="8">
        <v>37</v>
      </c>
      <c r="I254" s="8">
        <v>25</v>
      </c>
      <c r="J254" s="8">
        <v>23</v>
      </c>
      <c r="K254" s="17">
        <f t="shared" si="9"/>
        <v>1.2139107611548556</v>
      </c>
      <c r="L254" s="17">
        <f t="shared" si="10"/>
        <v>0.82020997375328086</v>
      </c>
      <c r="M254" s="17">
        <f t="shared" si="11"/>
        <v>0.75459317585301833</v>
      </c>
    </row>
    <row r="255" spans="1:13" x14ac:dyDescent="0.3">
      <c r="A255" s="33" t="s">
        <v>326</v>
      </c>
      <c r="B255" s="8" t="s">
        <v>160</v>
      </c>
      <c r="C255" s="34">
        <v>401181009</v>
      </c>
      <c r="D255" s="9" t="s">
        <v>327</v>
      </c>
      <c r="E255" s="31">
        <v>24</v>
      </c>
      <c r="F255" s="8">
        <v>9.5</v>
      </c>
      <c r="G255" s="35">
        <v>0.91847222222222213</v>
      </c>
      <c r="H255" s="8">
        <v>48</v>
      </c>
      <c r="I255" s="8">
        <v>32.5</v>
      </c>
      <c r="J255" s="8">
        <v>17</v>
      </c>
      <c r="K255" s="17">
        <f t="shared" si="9"/>
        <v>1.5748031496062991</v>
      </c>
      <c r="L255" s="17">
        <f t="shared" si="10"/>
        <v>1.0662729658792651</v>
      </c>
      <c r="M255" s="17">
        <f t="shared" si="11"/>
        <v>0.55774278215223094</v>
      </c>
    </row>
    <row r="256" spans="1:13" x14ac:dyDescent="0.3">
      <c r="A256" s="33" t="s">
        <v>328</v>
      </c>
      <c r="B256" s="8" t="s">
        <v>164</v>
      </c>
      <c r="C256" s="34">
        <v>401211003</v>
      </c>
      <c r="D256" s="9">
        <v>401211003</v>
      </c>
      <c r="E256" s="31">
        <v>180</v>
      </c>
      <c r="F256" s="8">
        <v>21</v>
      </c>
      <c r="G256" s="35">
        <v>1.4360852138291487</v>
      </c>
      <c r="H256" s="8">
        <v>38.5</v>
      </c>
      <c r="I256" s="8">
        <v>31.6</v>
      </c>
      <c r="J256" s="8">
        <v>32</v>
      </c>
      <c r="K256" s="17">
        <f t="shared" si="9"/>
        <v>1.2631233595800524</v>
      </c>
      <c r="L256" s="17">
        <f t="shared" si="10"/>
        <v>1.0367454068241471</v>
      </c>
      <c r="M256" s="17">
        <f t="shared" si="11"/>
        <v>1.0498687664041995</v>
      </c>
    </row>
    <row r="257" spans="1:13" x14ac:dyDescent="0.3">
      <c r="A257" s="29" t="s">
        <v>329</v>
      </c>
      <c r="B257" s="8" t="s">
        <v>167</v>
      </c>
      <c r="C257" s="30">
        <v>400127023</v>
      </c>
      <c r="D257" s="9">
        <v>400127023</v>
      </c>
      <c r="E257" s="31">
        <v>1584</v>
      </c>
      <c r="F257" s="8">
        <v>17.399999999999999</v>
      </c>
      <c r="G257" s="32">
        <v>3.7033333333333336</v>
      </c>
      <c r="H257" s="8">
        <v>53</v>
      </c>
      <c r="I257" s="8">
        <v>50.5</v>
      </c>
      <c r="J257" s="8">
        <v>36.5</v>
      </c>
      <c r="K257" s="17">
        <f t="shared" si="9"/>
        <v>1.7388451443569553</v>
      </c>
      <c r="L257" s="17">
        <f t="shared" si="10"/>
        <v>1.6568241469816272</v>
      </c>
      <c r="M257" s="17">
        <f t="shared" si="11"/>
        <v>1.19750656167979</v>
      </c>
    </row>
    <row r="258" spans="1:13" x14ac:dyDescent="0.3">
      <c r="A258" s="41" t="s">
        <v>330</v>
      </c>
      <c r="B258" s="8" t="s">
        <v>169</v>
      </c>
      <c r="C258" s="40">
        <v>401421013</v>
      </c>
      <c r="D258" s="9">
        <v>401421013</v>
      </c>
      <c r="E258" s="31">
        <v>2400</v>
      </c>
      <c r="F258" s="8">
        <v>8</v>
      </c>
      <c r="G258" s="32">
        <v>1.3513888888888888</v>
      </c>
      <c r="H258" s="8">
        <v>46.4</v>
      </c>
      <c r="I258" s="8">
        <v>33.5</v>
      </c>
      <c r="J258" s="8">
        <v>26.5</v>
      </c>
      <c r="K258" s="17">
        <f t="shared" si="9"/>
        <v>1.5223097112860893</v>
      </c>
      <c r="L258" s="17">
        <f t="shared" si="10"/>
        <v>1.0990813648293962</v>
      </c>
      <c r="M258" s="17">
        <f t="shared" si="11"/>
        <v>0.86942257217847763</v>
      </c>
    </row>
    <row r="259" spans="1:13" x14ac:dyDescent="0.3">
      <c r="A259" s="33" t="s">
        <v>331</v>
      </c>
      <c r="B259" s="8" t="s">
        <v>332</v>
      </c>
      <c r="C259" s="34">
        <v>401380001</v>
      </c>
      <c r="D259" s="9">
        <v>401380001</v>
      </c>
      <c r="E259" s="31">
        <v>4900</v>
      </c>
      <c r="F259" s="8">
        <v>10.5</v>
      </c>
      <c r="G259" s="32">
        <v>1.925000882861885</v>
      </c>
      <c r="H259" s="8">
        <v>41</v>
      </c>
      <c r="I259" s="8">
        <v>35.5</v>
      </c>
      <c r="J259" s="8">
        <v>36.5</v>
      </c>
      <c r="K259" s="17">
        <f t="shared" ref="K259:K276" si="12">H259/30.48</f>
        <v>1.3451443569553805</v>
      </c>
      <c r="L259" s="17">
        <f t="shared" ref="L259:L276" si="13">I259/30.48</f>
        <v>1.1646981627296589</v>
      </c>
      <c r="M259" s="17">
        <f t="shared" ref="M259:M276" si="14">J259/30.48</f>
        <v>1.19750656167979</v>
      </c>
    </row>
    <row r="260" spans="1:13" x14ac:dyDescent="0.3">
      <c r="A260" s="33" t="s">
        <v>333</v>
      </c>
      <c r="B260" s="8" t="s">
        <v>178</v>
      </c>
      <c r="C260" s="34">
        <v>400111049</v>
      </c>
      <c r="D260" s="9" t="s">
        <v>334</v>
      </c>
      <c r="E260" s="31">
        <v>20</v>
      </c>
      <c r="F260" s="8">
        <v>11.4</v>
      </c>
      <c r="G260" s="35">
        <v>0.87360949253098841</v>
      </c>
      <c r="H260" s="8">
        <v>37.5</v>
      </c>
      <c r="I260" s="8">
        <v>30</v>
      </c>
      <c r="J260" s="8">
        <v>20.8</v>
      </c>
      <c r="K260" s="17">
        <f t="shared" si="12"/>
        <v>1.2303149606299213</v>
      </c>
      <c r="L260" s="17">
        <f t="shared" si="13"/>
        <v>0.98425196850393704</v>
      </c>
      <c r="M260" s="17">
        <f t="shared" si="14"/>
        <v>0.6824146981627297</v>
      </c>
    </row>
    <row r="261" spans="1:13" x14ac:dyDescent="0.3">
      <c r="A261" s="33" t="s">
        <v>335</v>
      </c>
      <c r="B261" s="8" t="s">
        <v>167</v>
      </c>
      <c r="C261" s="34">
        <v>400127019</v>
      </c>
      <c r="D261" s="9">
        <v>400127019</v>
      </c>
      <c r="E261" s="31">
        <v>1584</v>
      </c>
      <c r="F261" s="8">
        <v>17.3</v>
      </c>
      <c r="G261" s="32">
        <v>3.5651552071193979</v>
      </c>
      <c r="H261" s="8">
        <v>53</v>
      </c>
      <c r="I261" s="8">
        <v>50.5</v>
      </c>
      <c r="J261" s="8">
        <v>26.5</v>
      </c>
      <c r="K261" s="17">
        <f t="shared" si="12"/>
        <v>1.7388451443569553</v>
      </c>
      <c r="L261" s="17">
        <f t="shared" si="13"/>
        <v>1.6568241469816272</v>
      </c>
      <c r="M261" s="17">
        <f t="shared" si="14"/>
        <v>0.86942257217847763</v>
      </c>
    </row>
    <row r="262" spans="1:13" x14ac:dyDescent="0.3">
      <c r="A262" s="33" t="s">
        <v>336</v>
      </c>
      <c r="B262" s="8" t="s">
        <v>167</v>
      </c>
      <c r="C262" s="34">
        <v>400127021</v>
      </c>
      <c r="D262" s="9" t="s">
        <v>337</v>
      </c>
      <c r="E262" s="31">
        <v>288</v>
      </c>
      <c r="F262" s="8">
        <v>5.0999999999999996</v>
      </c>
      <c r="G262" s="32">
        <v>0.77500000000000013</v>
      </c>
      <c r="H262" s="8">
        <v>44.5</v>
      </c>
      <c r="I262" s="8">
        <v>33.799999999999997</v>
      </c>
      <c r="J262" s="8">
        <v>25</v>
      </c>
      <c r="K262" s="17">
        <f t="shared" si="12"/>
        <v>1.4599737532808399</v>
      </c>
      <c r="L262" s="17">
        <f t="shared" si="13"/>
        <v>1.1089238845144356</v>
      </c>
      <c r="M262" s="17">
        <f t="shared" si="14"/>
        <v>0.82020997375328086</v>
      </c>
    </row>
    <row r="263" spans="1:13" x14ac:dyDescent="0.3">
      <c r="A263" s="33" t="s">
        <v>338</v>
      </c>
      <c r="B263" s="8" t="s">
        <v>185</v>
      </c>
      <c r="C263" s="37">
        <v>401210017</v>
      </c>
      <c r="D263" s="9" t="s">
        <v>339</v>
      </c>
      <c r="E263" s="31">
        <v>108</v>
      </c>
      <c r="F263" s="8">
        <v>2.2000000000000002</v>
      </c>
      <c r="G263" s="32">
        <v>0.31465197584489879</v>
      </c>
      <c r="H263" s="8">
        <v>30.1</v>
      </c>
      <c r="I263" s="8">
        <v>21</v>
      </c>
      <c r="J263" s="8">
        <v>12.5</v>
      </c>
      <c r="K263" s="17">
        <f t="shared" si="12"/>
        <v>0.98753280839895019</v>
      </c>
      <c r="L263" s="17">
        <f t="shared" si="13"/>
        <v>0.6889763779527559</v>
      </c>
      <c r="M263" s="17">
        <f t="shared" si="14"/>
        <v>0.41010498687664043</v>
      </c>
    </row>
    <row r="264" spans="1:13" x14ac:dyDescent="0.3">
      <c r="A264" s="33" t="s">
        <v>340</v>
      </c>
      <c r="B264" s="8" t="s">
        <v>185</v>
      </c>
      <c r="C264" s="42">
        <v>401210018</v>
      </c>
      <c r="D264" s="9" t="s">
        <v>341</v>
      </c>
      <c r="E264" s="31">
        <v>72</v>
      </c>
      <c r="F264" s="8">
        <v>2.4500000000000002</v>
      </c>
      <c r="G264" s="32">
        <v>0.14375000000000002</v>
      </c>
      <c r="H264" s="8">
        <v>25.5</v>
      </c>
      <c r="I264" s="8">
        <v>24</v>
      </c>
      <c r="J264" s="8">
        <v>13</v>
      </c>
      <c r="K264" s="17">
        <f t="shared" si="12"/>
        <v>0.83661417322834641</v>
      </c>
      <c r="L264" s="17">
        <f t="shared" si="13"/>
        <v>0.78740157480314954</v>
      </c>
      <c r="M264" s="17">
        <f t="shared" si="14"/>
        <v>0.42650918635170604</v>
      </c>
    </row>
    <row r="265" spans="1:13" x14ac:dyDescent="0.3">
      <c r="A265" s="33" t="s">
        <v>340</v>
      </c>
      <c r="B265" s="8" t="s">
        <v>185</v>
      </c>
      <c r="C265" s="34">
        <v>401210003</v>
      </c>
      <c r="D265" s="9">
        <v>401210003</v>
      </c>
      <c r="E265" s="31">
        <v>60</v>
      </c>
      <c r="F265" s="8">
        <v>2.4500000000000002</v>
      </c>
      <c r="G265" s="32">
        <v>0.58463114030441066</v>
      </c>
      <c r="H265" s="8">
        <v>42</v>
      </c>
      <c r="I265" s="8">
        <v>27.5</v>
      </c>
      <c r="J265" s="8">
        <v>14.5</v>
      </c>
      <c r="K265" s="17">
        <f t="shared" si="12"/>
        <v>1.3779527559055118</v>
      </c>
      <c r="L265" s="17">
        <f t="shared" si="13"/>
        <v>0.90223097112860895</v>
      </c>
      <c r="M265" s="17">
        <f t="shared" si="14"/>
        <v>0.47572178477690286</v>
      </c>
    </row>
    <row r="266" spans="1:13" x14ac:dyDescent="0.3">
      <c r="A266" s="33" t="s">
        <v>342</v>
      </c>
      <c r="B266" s="8" t="s">
        <v>188</v>
      </c>
      <c r="C266" s="34">
        <v>400134004</v>
      </c>
      <c r="D266" s="9">
        <v>400134004</v>
      </c>
      <c r="E266" s="31">
        <v>720</v>
      </c>
      <c r="F266" s="8">
        <v>13.65</v>
      </c>
      <c r="G266" s="32">
        <v>3.0886746477381077</v>
      </c>
      <c r="H266" s="8">
        <v>55.5</v>
      </c>
      <c r="I266" s="8">
        <v>43.5</v>
      </c>
      <c r="J266" s="8">
        <v>35</v>
      </c>
      <c r="K266" s="17">
        <f t="shared" si="12"/>
        <v>1.8208661417322833</v>
      </c>
      <c r="L266" s="17">
        <f t="shared" si="13"/>
        <v>1.4271653543307086</v>
      </c>
      <c r="M266" s="17">
        <f t="shared" si="14"/>
        <v>1.1482939632545932</v>
      </c>
    </row>
    <row r="267" spans="1:13" x14ac:dyDescent="0.3">
      <c r="A267" s="29" t="s">
        <v>343</v>
      </c>
      <c r="B267" s="8" t="s">
        <v>188</v>
      </c>
      <c r="C267" s="30">
        <v>400134010</v>
      </c>
      <c r="D267" s="9">
        <v>400134010</v>
      </c>
      <c r="E267" s="31">
        <v>72</v>
      </c>
      <c r="F267" s="8">
        <v>5.65</v>
      </c>
      <c r="G267" s="32">
        <v>0.69374999999999987</v>
      </c>
      <c r="H267" s="8">
        <v>31.5</v>
      </c>
      <c r="I267" s="8">
        <v>31</v>
      </c>
      <c r="J267" s="8">
        <v>20</v>
      </c>
      <c r="K267" s="17">
        <f t="shared" si="12"/>
        <v>1.0334645669291338</v>
      </c>
      <c r="L267" s="17">
        <f t="shared" si="13"/>
        <v>1.0170603674540681</v>
      </c>
      <c r="M267" s="17">
        <f t="shared" si="14"/>
        <v>0.65616797900262469</v>
      </c>
    </row>
    <row r="268" spans="1:13" x14ac:dyDescent="0.3">
      <c r="A268" s="33" t="s">
        <v>344</v>
      </c>
      <c r="B268" s="8" t="s">
        <v>188</v>
      </c>
      <c r="C268" s="34">
        <v>400134007</v>
      </c>
      <c r="D268" s="9">
        <v>400134007</v>
      </c>
      <c r="E268" s="31">
        <v>200</v>
      </c>
      <c r="F268" s="8">
        <v>8</v>
      </c>
      <c r="G268" s="35">
        <v>2.4053395486810043</v>
      </c>
      <c r="H268" s="8">
        <v>47.9</v>
      </c>
      <c r="I268" s="8">
        <v>42.9</v>
      </c>
      <c r="J268" s="8">
        <v>32</v>
      </c>
      <c r="K268" s="17">
        <f t="shared" si="12"/>
        <v>1.571522309711286</v>
      </c>
      <c r="L268" s="17">
        <f t="shared" si="13"/>
        <v>1.4074803149606299</v>
      </c>
      <c r="M268" s="17">
        <f t="shared" si="14"/>
        <v>1.0498687664041995</v>
      </c>
    </row>
    <row r="269" spans="1:13" x14ac:dyDescent="0.3">
      <c r="A269" s="41" t="s">
        <v>345</v>
      </c>
      <c r="B269" s="8" t="s">
        <v>188</v>
      </c>
      <c r="C269" s="30">
        <v>400134023</v>
      </c>
      <c r="D269" s="9">
        <v>400134023</v>
      </c>
      <c r="E269" s="31">
        <v>72</v>
      </c>
      <c r="F269" s="8">
        <v>4.6500000000000004</v>
      </c>
      <c r="G269" s="32">
        <v>0.54241666666666666</v>
      </c>
      <c r="H269" s="8">
        <v>31</v>
      </c>
      <c r="I269" s="8">
        <v>21</v>
      </c>
      <c r="J269" s="8">
        <v>27</v>
      </c>
      <c r="K269" s="17">
        <f t="shared" si="12"/>
        <v>1.0170603674540681</v>
      </c>
      <c r="L269" s="17">
        <f t="shared" si="13"/>
        <v>0.6889763779527559</v>
      </c>
      <c r="M269" s="17">
        <f t="shared" si="14"/>
        <v>0.88582677165354329</v>
      </c>
    </row>
    <row r="270" spans="1:13" x14ac:dyDescent="0.3">
      <c r="A270" s="33" t="s">
        <v>346</v>
      </c>
      <c r="B270" s="8" t="s">
        <v>190</v>
      </c>
      <c r="C270" s="34">
        <v>400087013</v>
      </c>
      <c r="D270" s="9">
        <v>400087013</v>
      </c>
      <c r="E270" s="31">
        <v>80</v>
      </c>
      <c r="F270" s="8">
        <v>11.1</v>
      </c>
      <c r="G270" s="35">
        <v>1.3736889501006464</v>
      </c>
      <c r="H270" s="8">
        <v>41</v>
      </c>
      <c r="I270" s="8">
        <v>26</v>
      </c>
      <c r="J270" s="8">
        <v>34.5</v>
      </c>
      <c r="K270" s="17">
        <f t="shared" si="12"/>
        <v>1.3451443569553805</v>
      </c>
      <c r="L270" s="17">
        <f t="shared" si="13"/>
        <v>0.85301837270341208</v>
      </c>
      <c r="M270" s="17">
        <f t="shared" si="14"/>
        <v>1.1318897637795275</v>
      </c>
    </row>
    <row r="271" spans="1:13" x14ac:dyDescent="0.3">
      <c r="A271" s="33" t="s">
        <v>347</v>
      </c>
      <c r="B271" s="8" t="s">
        <v>190</v>
      </c>
      <c r="C271" s="34">
        <v>400087021</v>
      </c>
      <c r="D271" s="9">
        <v>400087021</v>
      </c>
      <c r="E271" s="31">
        <v>80</v>
      </c>
      <c r="F271" s="8">
        <v>11.4</v>
      </c>
      <c r="G271" s="32">
        <v>1.3736889501006464</v>
      </c>
      <c r="H271" s="8">
        <v>41</v>
      </c>
      <c r="I271" s="8">
        <v>27</v>
      </c>
      <c r="J271" s="8">
        <v>34</v>
      </c>
      <c r="K271" s="17">
        <f t="shared" si="12"/>
        <v>1.3451443569553805</v>
      </c>
      <c r="L271" s="17">
        <f t="shared" si="13"/>
        <v>0.88582677165354329</v>
      </c>
      <c r="M271" s="17">
        <f t="shared" si="14"/>
        <v>1.1154855643044619</v>
      </c>
    </row>
    <row r="272" spans="1:13" x14ac:dyDescent="0.3">
      <c r="A272" s="33" t="s">
        <v>348</v>
      </c>
      <c r="B272" s="8" t="s">
        <v>190</v>
      </c>
      <c r="C272" s="34">
        <v>400087008</v>
      </c>
      <c r="D272" s="9">
        <v>400087008</v>
      </c>
      <c r="E272" s="31">
        <v>192</v>
      </c>
      <c r="F272" s="8">
        <v>21.2</v>
      </c>
      <c r="G272" s="32">
        <v>1.2585555555555601</v>
      </c>
      <c r="H272" s="8">
        <v>39.5</v>
      </c>
      <c r="I272" s="8">
        <v>24</v>
      </c>
      <c r="J272" s="8">
        <v>33</v>
      </c>
      <c r="K272" s="17">
        <f t="shared" si="12"/>
        <v>1.2959317585301837</v>
      </c>
      <c r="L272" s="17">
        <f t="shared" si="13"/>
        <v>0.78740157480314954</v>
      </c>
      <c r="M272" s="17">
        <f t="shared" si="14"/>
        <v>1.0826771653543308</v>
      </c>
    </row>
    <row r="273" spans="1:13" x14ac:dyDescent="0.3">
      <c r="A273" s="33" t="s">
        <v>349</v>
      </c>
      <c r="B273" s="8" t="s">
        <v>194</v>
      </c>
      <c r="C273" s="34">
        <v>400935061</v>
      </c>
      <c r="D273" s="9">
        <v>400935061</v>
      </c>
      <c r="E273" s="31">
        <v>12</v>
      </c>
      <c r="F273" s="8">
        <v>14</v>
      </c>
      <c r="G273" s="32">
        <v>1.0990571035067274</v>
      </c>
      <c r="H273" s="8">
        <v>39.5</v>
      </c>
      <c r="I273" s="8">
        <v>30.5</v>
      </c>
      <c r="J273" s="8">
        <v>28.5</v>
      </c>
      <c r="K273" s="17">
        <f t="shared" si="12"/>
        <v>1.2959317585301837</v>
      </c>
      <c r="L273" s="17">
        <f t="shared" si="13"/>
        <v>1.0006561679790027</v>
      </c>
      <c r="M273" s="17">
        <f t="shared" si="14"/>
        <v>0.93503937007874016</v>
      </c>
    </row>
    <row r="274" spans="1:13" ht="15" thickBot="1" x14ac:dyDescent="0.35">
      <c r="A274" s="43" t="s">
        <v>350</v>
      </c>
      <c r="B274" s="44" t="s">
        <v>351</v>
      </c>
      <c r="C274" s="45">
        <v>401221003</v>
      </c>
      <c r="D274" s="9">
        <v>401221003</v>
      </c>
      <c r="E274" s="31">
        <v>48</v>
      </c>
      <c r="F274" s="44">
        <v>17.75</v>
      </c>
      <c r="G274" s="46">
        <v>1.1328530564678461</v>
      </c>
      <c r="H274" s="44">
        <v>36</v>
      </c>
      <c r="I274" s="44">
        <v>25.5</v>
      </c>
      <c r="J274" s="44">
        <v>33.5</v>
      </c>
      <c r="K274" s="17">
        <f t="shared" si="12"/>
        <v>1.1811023622047243</v>
      </c>
      <c r="L274" s="17">
        <f t="shared" si="13"/>
        <v>0.83661417322834641</v>
      </c>
      <c r="M274" s="17">
        <f t="shared" si="14"/>
        <v>1.0990813648293962</v>
      </c>
    </row>
    <row r="275" spans="1:13" ht="15" thickBot="1" x14ac:dyDescent="0.35">
      <c r="A275" s="47" t="s">
        <v>352</v>
      </c>
      <c r="B275" s="48" t="s">
        <v>57</v>
      </c>
      <c r="C275" s="49">
        <v>400065312</v>
      </c>
      <c r="D275" s="49">
        <v>400065312</v>
      </c>
      <c r="E275" s="31">
        <v>48</v>
      </c>
      <c r="F275" s="50">
        <v>12.77</v>
      </c>
      <c r="H275" s="48">
        <v>37</v>
      </c>
      <c r="I275" s="48">
        <v>37.5</v>
      </c>
      <c r="J275" s="48">
        <v>22</v>
      </c>
      <c r="K275" s="17">
        <f t="shared" si="12"/>
        <v>1.2139107611548556</v>
      </c>
      <c r="L275" s="17">
        <f t="shared" si="13"/>
        <v>1.2303149606299213</v>
      </c>
      <c r="M275" s="17">
        <f t="shared" si="14"/>
        <v>0.72178477690288712</v>
      </c>
    </row>
    <row r="276" spans="1:13" ht="15" thickBot="1" x14ac:dyDescent="0.35">
      <c r="A276" s="47" t="s">
        <v>353</v>
      </c>
      <c r="B276" s="51" t="s">
        <v>57</v>
      </c>
      <c r="C276" s="49">
        <v>400065313</v>
      </c>
      <c r="D276" s="49">
        <v>400065313</v>
      </c>
      <c r="E276" s="31">
        <v>48</v>
      </c>
      <c r="F276" s="50">
        <v>6.47</v>
      </c>
      <c r="H276" s="48">
        <v>37.5</v>
      </c>
      <c r="I276" s="48">
        <v>29</v>
      </c>
      <c r="J276" s="48">
        <v>18</v>
      </c>
      <c r="K276" s="17">
        <f t="shared" si="12"/>
        <v>1.2303149606299213</v>
      </c>
      <c r="L276" s="17">
        <f t="shared" si="13"/>
        <v>0.95144356955380571</v>
      </c>
      <c r="M276" s="17">
        <f t="shared" si="14"/>
        <v>0.59055118110236215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465D6-314F-4DED-96F5-5326EA224963}">
  <dimension ref="A1"/>
  <sheetViews>
    <sheetView workbookViewId="0">
      <selection activeCell="K3" sqref="K3:K27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Piramal Enterprises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Chandramouli Bhandari/PCH/IN/Kurla</dc:creator>
  <cp:lastModifiedBy>Aditya Raj</cp:lastModifiedBy>
  <dcterms:created xsi:type="dcterms:W3CDTF">2026-05-19T09:42:45Z</dcterms:created>
  <dcterms:modified xsi:type="dcterms:W3CDTF">2026-07-01T09:44:51Z</dcterms:modified>
</cp:coreProperties>
</file>